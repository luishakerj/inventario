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uario1\Desktop\inventrio de del proyecto de analisi de alimentos\"/>
    </mc:Choice>
  </mc:AlternateContent>
  <xr:revisionPtr revIDLastSave="0" documentId="13_ncr:1_{D6A260F7-7843-404F-BFE5-FFC4046D3823}" xr6:coauthVersionLast="47" xr6:coauthVersionMax="47" xr10:uidLastSave="{00000000-0000-0000-0000-000000000000}"/>
  <bookViews>
    <workbookView xWindow="12090" yWindow="0" windowWidth="8505" windowHeight="10905" firstSheet="8" activeTab="11" xr2:uid="{00000000-000D-0000-FFFF-FFFF00000000}"/>
  </bookViews>
  <sheets>
    <sheet name="SOLVENTES" sheetId="10" r:id="rId1"/>
    <sheet name="ÁCIDOS" sheetId="8" r:id="rId2"/>
    <sheet name="BASES Y SALES" sheetId="6" r:id="rId3"/>
    <sheet name="POLÍMEROS" sheetId="12" r:id="rId4"/>
    <sheet name="VENCIDOS" sheetId="7" r:id="rId5"/>
    <sheet name="CONGELADOS Y REFRIGERADOS" sheetId="11" r:id="rId6"/>
    <sheet name="EQUIPOS" sheetId="15" r:id="rId7"/>
    <sheet name="MATERIALES DE LAB" sheetId="14" r:id="rId8"/>
    <sheet name="MATERIALES DE LIMPIEZA" sheetId="13" r:id="rId9"/>
    <sheet name="ARTICULOS DE OFICINA" sheetId="9" r:id="rId10"/>
    <sheet name="OTROS" sheetId="19" r:id="rId11"/>
    <sheet name="PRO.FREJOL" sheetId="20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K6" i="11" l="1"/>
  <c r="K46" i="11"/>
  <c r="K39" i="11" l="1"/>
  <c r="K31" i="11"/>
  <c r="K28" i="11"/>
</calcChain>
</file>

<file path=xl/sharedStrings.xml><?xml version="1.0" encoding="utf-8"?>
<sst xmlns="http://schemas.openxmlformats.org/spreadsheetml/2006/main" count="2654" uniqueCount="834">
  <si>
    <t>MARCA</t>
  </si>
  <si>
    <t>N°</t>
  </si>
  <si>
    <t>100 ML</t>
  </si>
  <si>
    <t>10 ML</t>
  </si>
  <si>
    <t>LOTE</t>
  </si>
  <si>
    <t>FECHA DE VENCIMIENTO</t>
  </si>
  <si>
    <t>MERCK</t>
  </si>
  <si>
    <t>500 G</t>
  </si>
  <si>
    <t>SPECTRUM</t>
  </si>
  <si>
    <t>100 G</t>
  </si>
  <si>
    <t>2.5 L</t>
  </si>
  <si>
    <t>MERK</t>
  </si>
  <si>
    <t>250 G</t>
  </si>
  <si>
    <t>SCHARLAU</t>
  </si>
  <si>
    <t>MKCJ2191</t>
  </si>
  <si>
    <t>MKCK1228</t>
  </si>
  <si>
    <t>MKCJ9113</t>
  </si>
  <si>
    <t>1 KG</t>
  </si>
  <si>
    <t>K52625318031</t>
  </si>
  <si>
    <t>SUPELCO</t>
  </si>
  <si>
    <t>5 KG</t>
  </si>
  <si>
    <t>AM0873349616</t>
  </si>
  <si>
    <t>K50000204912</t>
  </si>
  <si>
    <t>A1246213809</t>
  </si>
  <si>
    <t>J.T. BAKER</t>
  </si>
  <si>
    <t>FERMONT</t>
  </si>
  <si>
    <t>S7924445013</t>
  </si>
  <si>
    <t>5 G</t>
  </si>
  <si>
    <t>1 L</t>
  </si>
  <si>
    <t>SLCJ5695</t>
  </si>
  <si>
    <t>SLCC6206</t>
  </si>
  <si>
    <t>UND</t>
  </si>
  <si>
    <t>CDH</t>
  </si>
  <si>
    <t>B1012</t>
  </si>
  <si>
    <t>ICN BIOMEDICALS</t>
  </si>
  <si>
    <t>8670K</t>
  </si>
  <si>
    <t>GQB0303301</t>
  </si>
  <si>
    <t>I1058227948</t>
  </si>
  <si>
    <t>K51766134939</t>
  </si>
  <si>
    <t>K52886245045</t>
  </si>
  <si>
    <t>K53117745106</t>
  </si>
  <si>
    <t>K52950363050</t>
  </si>
  <si>
    <t>AM1413148922</t>
  </si>
  <si>
    <t>AM1252087926</t>
  </si>
  <si>
    <t>K51701429015</t>
  </si>
  <si>
    <t>MKCJ5457</t>
  </si>
  <si>
    <t>MKCJ8225</t>
  </si>
  <si>
    <t>25 G</t>
  </si>
  <si>
    <t>MKCJ8298</t>
  </si>
  <si>
    <t>50 G</t>
  </si>
  <si>
    <t>TP1455548945</t>
  </si>
  <si>
    <t>MKCL0762</t>
  </si>
  <si>
    <t>G277958948</t>
  </si>
  <si>
    <t>S5751471</t>
  </si>
  <si>
    <t>B0421823023</t>
  </si>
  <si>
    <t>10 G</t>
  </si>
  <si>
    <t>A991919026</t>
  </si>
  <si>
    <t>039K0027</t>
  </si>
  <si>
    <t>A685504942</t>
  </si>
  <si>
    <t>K41076609033</t>
  </si>
  <si>
    <t>A0111291030</t>
  </si>
  <si>
    <t>A0100780024</t>
  </si>
  <si>
    <t>A0052216033</t>
  </si>
  <si>
    <t>SLCC6249</t>
  </si>
  <si>
    <t>SLBR2349V</t>
  </si>
  <si>
    <t>CANTIDAD  EN        (g)  O  (mL)</t>
  </si>
  <si>
    <t>SIGMA-ALDRICH</t>
  </si>
  <si>
    <t>FECHA DE PRODUCCIÓN</t>
  </si>
  <si>
    <t>NOMBRE DE REACTIVOS</t>
  </si>
  <si>
    <t>DESCRIPCIÓN</t>
  </si>
  <si>
    <t>SF</t>
  </si>
  <si>
    <t>500g</t>
  </si>
  <si>
    <t>1 Kg</t>
  </si>
  <si>
    <t>INSUQUÍMICA</t>
  </si>
  <si>
    <t>Sellado</t>
  </si>
  <si>
    <t>Hidróxido de sodio</t>
  </si>
  <si>
    <t>EMSURE/SUPELCO</t>
  </si>
  <si>
    <t>En uso (500g aprox.)</t>
  </si>
  <si>
    <t>RG 1096</t>
  </si>
  <si>
    <t>EDTA</t>
  </si>
  <si>
    <t>En uso</t>
  </si>
  <si>
    <t>D232L3T023</t>
  </si>
  <si>
    <t>D232J56004</t>
  </si>
  <si>
    <t>Envase tapa roja (otro envase)</t>
  </si>
  <si>
    <t>agua de peptona tamponada</t>
  </si>
  <si>
    <t>Grano cult/ MERCK</t>
  </si>
  <si>
    <t>Ácido bórico</t>
  </si>
  <si>
    <t>OXFORD</t>
  </si>
  <si>
    <t>100 g</t>
  </si>
  <si>
    <t>500 g</t>
  </si>
  <si>
    <t>Goma arábica</t>
  </si>
  <si>
    <t>LOTE/CÓD</t>
  </si>
  <si>
    <t>MB1911098 113</t>
  </si>
  <si>
    <t>B1792398006</t>
  </si>
  <si>
    <t>2.5 Kg</t>
  </si>
  <si>
    <t>Sulfato de sodio</t>
  </si>
  <si>
    <t>EMSURE</t>
  </si>
  <si>
    <t>Peróxido de Hidrógeno</t>
  </si>
  <si>
    <t xml:space="preserve"> en uso</t>
  </si>
  <si>
    <t>EMSURE/MERCK</t>
  </si>
  <si>
    <t>K52021909003</t>
  </si>
  <si>
    <t>Butanol</t>
  </si>
  <si>
    <t>GERMANY</t>
  </si>
  <si>
    <t>Ácido acético</t>
  </si>
  <si>
    <t>K51002663903</t>
  </si>
  <si>
    <t>Metanol</t>
  </si>
  <si>
    <t>Cloroformo</t>
  </si>
  <si>
    <t>EMSURE/ SUPELCO</t>
  </si>
  <si>
    <t>K53900445149</t>
  </si>
  <si>
    <t>2 - Propanol</t>
  </si>
  <si>
    <t>en uso</t>
  </si>
  <si>
    <t>Isooctano</t>
  </si>
  <si>
    <t>Ácido fórmico</t>
  </si>
  <si>
    <t>A0134549009</t>
  </si>
  <si>
    <t>Carbonato ácido de sodio</t>
  </si>
  <si>
    <t>Nitrato de Plata (cristales)</t>
  </si>
  <si>
    <t>Quitosano</t>
  </si>
  <si>
    <t>250 g</t>
  </si>
  <si>
    <t>Pectina LM-101-AS-Z</t>
  </si>
  <si>
    <t>CP Kelco</t>
  </si>
  <si>
    <t>SK30038947</t>
  </si>
  <si>
    <t>En uso (100g aprox)</t>
  </si>
  <si>
    <t>EN OTROS ENVASES</t>
  </si>
  <si>
    <t xml:space="preserve"> - </t>
  </si>
  <si>
    <t xml:space="preserve"> -</t>
  </si>
  <si>
    <t>Alginato nanogel</t>
  </si>
  <si>
    <t>envase de vidrio 2 L. con tapa verde (Estefany)</t>
  </si>
  <si>
    <t>Proteína de soya</t>
  </si>
  <si>
    <t>Envase ambar de ácido tricloroacético de 250g</t>
  </si>
  <si>
    <t>250g</t>
  </si>
  <si>
    <t>50 g</t>
  </si>
  <si>
    <t>Sangre bobina en polvo</t>
  </si>
  <si>
    <t xml:space="preserve">Envase sin etiqueta original  de 500g </t>
  </si>
  <si>
    <t>Sangre atomizada</t>
  </si>
  <si>
    <t xml:space="preserve">Envase ambar de aceite de pecado de 1 L </t>
  </si>
  <si>
    <t>100 ml</t>
  </si>
  <si>
    <t>envase de cloruro  de sodio de 1 kg</t>
  </si>
  <si>
    <t>x</t>
  </si>
  <si>
    <t>Sulfato de potasio</t>
  </si>
  <si>
    <t>sellado</t>
  </si>
  <si>
    <t>AM1567553 039</t>
  </si>
  <si>
    <t>Sulfato de cobre anhidro II</t>
  </si>
  <si>
    <t>en uso (solidificado)</t>
  </si>
  <si>
    <t>SIGMA - ALDRICH</t>
  </si>
  <si>
    <t>Tiosulfato de sodio pentahidratado</t>
  </si>
  <si>
    <t>Carbonato de Amonio</t>
  </si>
  <si>
    <t xml:space="preserve">en uso </t>
  </si>
  <si>
    <t>Bicarbonato de sodio</t>
  </si>
  <si>
    <t>574B70</t>
  </si>
  <si>
    <t>Cloruro de calcio</t>
  </si>
  <si>
    <t xml:space="preserve"> 1 KG</t>
  </si>
  <si>
    <t>Óxido de arsénico</t>
  </si>
  <si>
    <t>Cadmio</t>
  </si>
  <si>
    <t>Cloruro de potasio</t>
  </si>
  <si>
    <t>K54338036229</t>
  </si>
  <si>
    <t xml:space="preserve">      K55372936402</t>
  </si>
  <si>
    <t>Cloruro de calcio dihidratado</t>
  </si>
  <si>
    <t>A1488582004</t>
  </si>
  <si>
    <t xml:space="preserve">Sulfato de cobre II pentahidratado </t>
  </si>
  <si>
    <t>Citrato de potasio tribasico monohidratado</t>
  </si>
  <si>
    <t>CLCC5347</t>
  </si>
  <si>
    <t>Peroxidodisulfato de potasio</t>
  </si>
  <si>
    <t>K50421691829</t>
  </si>
  <si>
    <t>Pesulfato de potasio</t>
  </si>
  <si>
    <t>LOBA CHEMIE PVT. LTD.</t>
  </si>
  <si>
    <t>Tabletas Kjeldahl</t>
  </si>
  <si>
    <t>KgaA/MERCK</t>
  </si>
  <si>
    <t>1.25 KG</t>
  </si>
  <si>
    <t>4-(Dimetilamino)-benzaldehído</t>
  </si>
  <si>
    <t>Sulfato de cobre extrapuro</t>
  </si>
  <si>
    <t>SRL</t>
  </si>
  <si>
    <t>T-837942</t>
  </si>
  <si>
    <t>Sulfato de amonio acs.</t>
  </si>
  <si>
    <t>Persulfato de potasio</t>
  </si>
  <si>
    <t>envase color ambar de 2.5 L (comestible)</t>
  </si>
  <si>
    <t>2.5 KG</t>
  </si>
  <si>
    <t>Cloruro de sodio</t>
  </si>
  <si>
    <t>K52190904041</t>
  </si>
  <si>
    <t>SLBV7703</t>
  </si>
  <si>
    <t>Tiocinato de amonio</t>
  </si>
  <si>
    <t>di-Potasio Hidrógeno Fosfato anhidro</t>
  </si>
  <si>
    <t>RIEDEL DE HAEN</t>
  </si>
  <si>
    <t xml:space="preserve">  -</t>
  </si>
  <si>
    <t>AM1389953029</t>
  </si>
  <si>
    <t>Yoduro de sodio</t>
  </si>
  <si>
    <t>Tartrato de potasio y sodio tetrahidratado</t>
  </si>
  <si>
    <t>Citrato de Trisodio Dihidrato</t>
  </si>
  <si>
    <t>Peroxidisulfato de sodio</t>
  </si>
  <si>
    <t>sulfato de hierro II heptahidrato</t>
  </si>
  <si>
    <t>envase blanco con tapa blanca</t>
  </si>
  <si>
    <t>MKBY0787V</t>
  </si>
  <si>
    <t>Cloruro de hierro</t>
  </si>
  <si>
    <t>A-01</t>
  </si>
  <si>
    <t>4-aninopiridina (tóxico)</t>
  </si>
  <si>
    <t>Murexida (purpurato de amonio)</t>
  </si>
  <si>
    <t>Fluoresceína sódica</t>
  </si>
  <si>
    <t>K42774187 237</t>
  </si>
  <si>
    <t>K40375961 025</t>
  </si>
  <si>
    <t>Monocloruro de yodo</t>
  </si>
  <si>
    <t>S5440523 948</t>
  </si>
  <si>
    <t>Rojo de fenol</t>
  </si>
  <si>
    <t>K38640570 027</t>
  </si>
  <si>
    <t>Fenolftaleína</t>
  </si>
  <si>
    <t>K40367833 019</t>
  </si>
  <si>
    <t>Naranja de metilo</t>
  </si>
  <si>
    <t>en uso (ambar con tapa roja)</t>
  </si>
  <si>
    <t>Azul de metileno</t>
  </si>
  <si>
    <t>K41229625</t>
  </si>
  <si>
    <t>Biftalato de potasio</t>
  </si>
  <si>
    <t>envase ambar tapa roja</t>
  </si>
  <si>
    <t>Vainillina</t>
  </si>
  <si>
    <t>MKCB0841Y</t>
  </si>
  <si>
    <t>Ácido tiobarbitúrico</t>
  </si>
  <si>
    <t>LO14100280 718</t>
  </si>
  <si>
    <t>NO19131280 937</t>
  </si>
  <si>
    <t>Cloruro de mercurio II</t>
  </si>
  <si>
    <t>K40868629 034</t>
  </si>
  <si>
    <t>Óxido de cromo VI (chromium VI)</t>
  </si>
  <si>
    <t>Zinc</t>
  </si>
  <si>
    <t>abierto</t>
  </si>
  <si>
    <t xml:space="preserve">500 G </t>
  </si>
  <si>
    <t>N-Hexano</t>
  </si>
  <si>
    <t>E13W68</t>
  </si>
  <si>
    <t>4 L</t>
  </si>
  <si>
    <t>Acetona</t>
  </si>
  <si>
    <t>FISHER CHEMICALS</t>
  </si>
  <si>
    <t>Ácido acético glacial</t>
  </si>
  <si>
    <t xml:space="preserve"> 2.5 L</t>
  </si>
  <si>
    <t>FISHER SCIENTIFIC</t>
  </si>
  <si>
    <t>Ácido tricloroacético</t>
  </si>
  <si>
    <t>K53953607 206</t>
  </si>
  <si>
    <t>J.K. BAKER</t>
  </si>
  <si>
    <t>K47618</t>
  </si>
  <si>
    <t>MKB08735V</t>
  </si>
  <si>
    <t>Ácido succínico</t>
  </si>
  <si>
    <t>Ácido cítrico monohidratado</t>
  </si>
  <si>
    <t>E1908A</t>
  </si>
  <si>
    <t>Ácido etilendiaminotetraacético (EDTA)</t>
  </si>
  <si>
    <t>Ácido gálico</t>
  </si>
  <si>
    <t xml:space="preserve">Ácido ascórbico </t>
  </si>
  <si>
    <t>F572227006</t>
  </si>
  <si>
    <t>K50160844 902</t>
  </si>
  <si>
    <t xml:space="preserve">envase blanco </t>
  </si>
  <si>
    <t>ALQUIMIA</t>
  </si>
  <si>
    <t>A0760225 643</t>
  </si>
  <si>
    <t>Tiocinato de potasio</t>
  </si>
  <si>
    <t>envase tapa azul</t>
  </si>
  <si>
    <t>envase de muestra</t>
  </si>
  <si>
    <t>Pepsina de la mucosa gástrica porcina</t>
  </si>
  <si>
    <t>Bilis bovina</t>
  </si>
  <si>
    <t>SLC69142</t>
  </si>
  <si>
    <t>SLCJ3493</t>
  </si>
  <si>
    <t>Lipasa de pancreas porcina</t>
  </si>
  <si>
    <t>SLCJ2799</t>
  </si>
  <si>
    <t>Pancreatina de pancreas porcina</t>
  </si>
  <si>
    <t>SLCD1114</t>
  </si>
  <si>
    <t>SLEF4576</t>
  </si>
  <si>
    <t>Ácido linolénico</t>
  </si>
  <si>
    <t>Ácido hexanoico</t>
  </si>
  <si>
    <t>Tranglutaminasa</t>
  </si>
  <si>
    <t>en uso (en frasco de vidrio tapa azul)</t>
  </si>
  <si>
    <t>Acetato cúprico (II)</t>
  </si>
  <si>
    <t>PELIGROSO</t>
  </si>
  <si>
    <t>Alcohol metílico</t>
  </si>
  <si>
    <t>Biosimplus</t>
  </si>
  <si>
    <t>300 g</t>
  </si>
  <si>
    <t>Carboximetilcelulosa (CMC)</t>
  </si>
  <si>
    <t>Botella plásctica blanca con tapa gris de 2.5 kg rotulado</t>
  </si>
  <si>
    <t>2.5 kg</t>
  </si>
  <si>
    <t>Gelatina 280 Bloom</t>
  </si>
  <si>
    <t>PE280-18-37</t>
  </si>
  <si>
    <t>2 KG</t>
  </si>
  <si>
    <t>empaque de aluminio flexible de embalaje</t>
  </si>
  <si>
    <t>AJINO MOTO</t>
  </si>
  <si>
    <t>160120B</t>
  </si>
  <si>
    <t>ABTS (2,2'-Azinobis-(3-Ethylbenzthiazolin-6-Sulfonic Acid))</t>
  </si>
  <si>
    <t>envase blanco tapa roja (abierto)</t>
  </si>
  <si>
    <t>EDM MILLIPORE CORP/ MERCK</t>
  </si>
  <si>
    <t>1 G</t>
  </si>
  <si>
    <t>ALMACENAMIENTO</t>
  </si>
  <si>
    <t>CONGELACIÓN</t>
  </si>
  <si>
    <t>2 a 8 °C</t>
  </si>
  <si>
    <t>1 g</t>
  </si>
  <si>
    <t>envase blanco tapa roja (sellado)</t>
  </si>
  <si>
    <t xml:space="preserve">1 G </t>
  </si>
  <si>
    <t>ROCHE DIAGNOSTICS/SIGMA ALDRICH</t>
  </si>
  <si>
    <t>2 G</t>
  </si>
  <si>
    <t>envase ambar tapa negra dentro de sobreenvase colo azul, en uso</t>
  </si>
  <si>
    <t>ABTS líquido</t>
  </si>
  <si>
    <t>Trolox (6-hydroxy-2,5,7,8-tetramethylchroman-2-carboxylic acid)</t>
  </si>
  <si>
    <t>envase plástico marron (abierto)</t>
  </si>
  <si>
    <t>envase ambar tapa roja (sellado)</t>
  </si>
  <si>
    <t>envase ambar tapa negra (sellado)</t>
  </si>
  <si>
    <t>envase ambar tapa negra (abierto y sellado)</t>
  </si>
  <si>
    <t>DPPH (2,2-difenil-1-picrilhidracilo)</t>
  </si>
  <si>
    <t>envase ambar tapa azul (en uso)</t>
  </si>
  <si>
    <t>ALFA AESAR</t>
  </si>
  <si>
    <t>X041+075</t>
  </si>
  <si>
    <t>envase ambar tapa roja (en uso)</t>
  </si>
  <si>
    <t>STBJ3113</t>
  </si>
  <si>
    <t>α-Amilasa de la saliva humana</t>
  </si>
  <si>
    <t>SLCD9952</t>
  </si>
  <si>
    <t>SLCK0252</t>
  </si>
  <si>
    <t>1 KU</t>
  </si>
  <si>
    <t>envase ambar tapa roja (en uso y sellado)</t>
  </si>
  <si>
    <t>α-Chymotrypsin from bovine pancreas</t>
  </si>
  <si>
    <t>SLCJ3494</t>
  </si>
  <si>
    <t>25 mg</t>
  </si>
  <si>
    <t>Fish oil menhaden</t>
  </si>
  <si>
    <t xml:space="preserve">1 L </t>
  </si>
  <si>
    <t>Trypsin-chymotrypsin inhibitor</t>
  </si>
  <si>
    <t>envase blanco tapa roja (en uso)</t>
  </si>
  <si>
    <t>SLB67233V</t>
  </si>
  <si>
    <t>Amyloglucosidase from Aspergillus niger</t>
  </si>
  <si>
    <t>SLBX1747</t>
  </si>
  <si>
    <t>Pefabloc SC</t>
  </si>
  <si>
    <t xml:space="preserve">sobreenvase azul </t>
  </si>
  <si>
    <t>Folin-Ciocalteu's phenol reagent</t>
  </si>
  <si>
    <t>envase ambar tapa negra (en uso)</t>
  </si>
  <si>
    <t>HC15894101</t>
  </si>
  <si>
    <t>2.50 ml</t>
  </si>
  <si>
    <t>15 a 25 °C</t>
  </si>
  <si>
    <t>1,1,3,3-Tetraethoxypropane</t>
  </si>
  <si>
    <t>aproximado de 80 ml, envase ambar tapa negra (en uso)</t>
  </si>
  <si>
    <t>BCBL7362V</t>
  </si>
  <si>
    <t xml:space="preserve"> 100 ml</t>
  </si>
  <si>
    <t>BCBX0404</t>
  </si>
  <si>
    <t>500 ml</t>
  </si>
  <si>
    <t>15 A 24 ° C</t>
  </si>
  <si>
    <t>HC15543917</t>
  </si>
  <si>
    <t>250 ml</t>
  </si>
  <si>
    <t>envase blaco tapa negra (en uso)</t>
  </si>
  <si>
    <t>TOTAL DE UNIDADES</t>
  </si>
  <si>
    <t xml:space="preserve">Galato de propilo </t>
  </si>
  <si>
    <t>FISCALIZADO</t>
  </si>
  <si>
    <t>X</t>
  </si>
  <si>
    <t>Proteina de soya</t>
  </si>
  <si>
    <t>Grasa de alto vacío</t>
  </si>
  <si>
    <t xml:space="preserve">pasta </t>
  </si>
  <si>
    <t>DOW CORNING</t>
  </si>
  <si>
    <t>12/21/2025</t>
  </si>
  <si>
    <t>HO53L1G009</t>
  </si>
  <si>
    <t>120 g</t>
  </si>
  <si>
    <t xml:space="preserve"> </t>
  </si>
  <si>
    <t>Ácido 4-bromofenilborónico, 95 %</t>
  </si>
  <si>
    <t>Botella plásctica blanca con tapa gris de 2.5 kg rotulado.</t>
  </si>
  <si>
    <t>1,10 Fenantrolina monohidratado</t>
  </si>
  <si>
    <t>SLCG63876</t>
  </si>
  <si>
    <t>Cloruro de bario dihidratato (cristal)</t>
  </si>
  <si>
    <t>Cloruro de bario dihidratato.</t>
  </si>
  <si>
    <t>K47013904548</t>
  </si>
  <si>
    <t>1KG</t>
  </si>
  <si>
    <t>Cloruro de hierro III</t>
  </si>
  <si>
    <t>L58111022020</t>
  </si>
  <si>
    <t>L59142741026</t>
  </si>
  <si>
    <t xml:space="preserve">       </t>
  </si>
  <si>
    <t>Propilo 3,4,5- trihidroxibenzoato</t>
  </si>
  <si>
    <t>100G</t>
  </si>
  <si>
    <t>SIGMA ALDRICH</t>
  </si>
  <si>
    <t>S7830099012</t>
  </si>
  <si>
    <t>S7130299734</t>
  </si>
  <si>
    <t>SLBZ5010</t>
  </si>
  <si>
    <t>AM1828449320</t>
  </si>
  <si>
    <t>EN USO</t>
  </si>
  <si>
    <t>SULFATO DE SODIO</t>
  </si>
  <si>
    <t>PLATE COUNT AGAR</t>
  </si>
  <si>
    <t>OXOID</t>
  </si>
  <si>
    <t>AGAR NUTRIENTE BD</t>
  </si>
  <si>
    <t>ENVASE</t>
  </si>
  <si>
    <t>DIFCO</t>
  </si>
  <si>
    <t>ACETATO DE POTASIO</t>
  </si>
  <si>
    <t>SELLADO</t>
  </si>
  <si>
    <t>500G</t>
  </si>
  <si>
    <t xml:space="preserve"> S-12</t>
  </si>
  <si>
    <t>S7196418722</t>
  </si>
  <si>
    <t>S7196418634</t>
  </si>
  <si>
    <t>POTASIO DIHIDROGENO FOSFATO</t>
  </si>
  <si>
    <t>Ácido 2 tiobarbitúrico</t>
  </si>
  <si>
    <t>BCBZ1796</t>
  </si>
  <si>
    <t xml:space="preserve"> A-03</t>
  </si>
  <si>
    <t>B6BB6137V</t>
  </si>
  <si>
    <t>N-BENZILALFAMETILBENCILAMINA</t>
  </si>
  <si>
    <t>Eriochrome Black (INDICADOR DE NEGRO DE ERIOCROMO)</t>
  </si>
  <si>
    <t>S35201017</t>
  </si>
  <si>
    <t>PENTOXIDO DE DIFÓSFORO</t>
  </si>
  <si>
    <t>K54744940 305</t>
  </si>
  <si>
    <t>1,13,3 - TETRAMETOXIPROPANO</t>
  </si>
  <si>
    <t>SIGMA</t>
  </si>
  <si>
    <t>BCCC8272</t>
  </si>
  <si>
    <t>FOLIN Y CIOCALTEU FENOL</t>
  </si>
  <si>
    <t>500ML</t>
  </si>
  <si>
    <t>HC45245001</t>
  </si>
  <si>
    <t>NITRITO DE SODIO</t>
  </si>
  <si>
    <t>25G</t>
  </si>
  <si>
    <t>250G</t>
  </si>
  <si>
    <t>Botella plástica blanca con tapa gris de 2.5 kg rotulado</t>
  </si>
  <si>
    <t>SULFATO DE MANGANESO</t>
  </si>
  <si>
    <t>F2228641505</t>
  </si>
  <si>
    <t>SELENITO DE SODIO</t>
  </si>
  <si>
    <t>10G</t>
  </si>
  <si>
    <t>RODAMINA B</t>
  </si>
  <si>
    <t>GELATINA EN POLVO</t>
  </si>
  <si>
    <t>DINAMICA</t>
  </si>
  <si>
    <t xml:space="preserve">envase de cafe de vidrio de 500ml </t>
  </si>
  <si>
    <t>-</t>
  </si>
  <si>
    <t>Envase tapa roja</t>
  </si>
  <si>
    <t>100g</t>
  </si>
  <si>
    <t>alginato de sodio</t>
  </si>
  <si>
    <t>HIMEDIA</t>
  </si>
  <si>
    <t>Carbonato de sodio</t>
  </si>
  <si>
    <t>ENSURE</t>
  </si>
  <si>
    <t>A0987292615</t>
  </si>
  <si>
    <t>CHEMICAL</t>
  </si>
  <si>
    <t>SED14122017</t>
  </si>
  <si>
    <t>1L</t>
  </si>
  <si>
    <t>1Kg</t>
  </si>
  <si>
    <t xml:space="preserve">Ácido sulfurico </t>
  </si>
  <si>
    <t>2.5L</t>
  </si>
  <si>
    <t>Ácido clorhídrico fuming 37%</t>
  </si>
  <si>
    <t>METANOL</t>
  </si>
  <si>
    <t>K56639545516</t>
  </si>
  <si>
    <t>Alcohol etílico absoluto</t>
  </si>
  <si>
    <t xml:space="preserve">ETANOL </t>
  </si>
  <si>
    <t>L1366483435</t>
  </si>
  <si>
    <t>K56223575441</t>
  </si>
  <si>
    <t>Bencina de pétroleo</t>
  </si>
  <si>
    <t>Frasco ambar 1 L</t>
  </si>
  <si>
    <t>Ácido tricloroacetico</t>
  </si>
  <si>
    <t>K56245407524</t>
  </si>
  <si>
    <t>K56414363502</t>
  </si>
  <si>
    <t>K54294891219</t>
  </si>
  <si>
    <t xml:space="preserve">Ácido acético </t>
  </si>
  <si>
    <t>Solución de Wijs</t>
  </si>
  <si>
    <t>HX57638463</t>
  </si>
  <si>
    <t>Formol</t>
  </si>
  <si>
    <t>Portugal</t>
  </si>
  <si>
    <t>Acetato de plomo</t>
  </si>
  <si>
    <t>6653J</t>
  </si>
  <si>
    <t>VM877428911</t>
  </si>
  <si>
    <t>Dodecilo sulfato sal sodica</t>
  </si>
  <si>
    <t>K47959160710</t>
  </si>
  <si>
    <t>Potasio dihidrogenofosfato</t>
  </si>
  <si>
    <t>AM1605973102</t>
  </si>
  <si>
    <t>Carbonato de sodio hidrogenado</t>
  </si>
  <si>
    <t>Alcohol etilico absoluto</t>
  </si>
  <si>
    <t>usado</t>
  </si>
  <si>
    <t>QUIMEX</t>
  </si>
  <si>
    <t>1-Butanol</t>
  </si>
  <si>
    <t>K45595690424</t>
  </si>
  <si>
    <t>Alcohol etilico</t>
  </si>
  <si>
    <t>ERZA</t>
  </si>
  <si>
    <t>D-07</t>
  </si>
  <si>
    <t xml:space="preserve">Alginato </t>
  </si>
  <si>
    <t>envase blanco</t>
  </si>
  <si>
    <t>1kg</t>
  </si>
  <si>
    <t>L777609517</t>
  </si>
  <si>
    <t>5L</t>
  </si>
  <si>
    <t>Lauril sulfato de sodio</t>
  </si>
  <si>
    <t>5082K</t>
  </si>
  <si>
    <t>K47333037606</t>
  </si>
  <si>
    <t>Sulfato de hierro heptahidratado</t>
  </si>
  <si>
    <t>HI03501000</t>
  </si>
  <si>
    <t>A0135473017</t>
  </si>
  <si>
    <t>Titriplex</t>
  </si>
  <si>
    <t>Ácido citrico</t>
  </si>
  <si>
    <t>Base de agar sangre</t>
  </si>
  <si>
    <t>Solución Buffer</t>
  </si>
  <si>
    <t>HC87851677</t>
  </si>
  <si>
    <t>500ml</t>
  </si>
  <si>
    <t>J.TBAKER</t>
  </si>
  <si>
    <t>NOMBRE</t>
  </si>
  <si>
    <t>CANTIDAD</t>
  </si>
  <si>
    <t>Vaso de precipitado</t>
  </si>
  <si>
    <t>5000ml</t>
  </si>
  <si>
    <t>Duran</t>
  </si>
  <si>
    <t>3000ml</t>
  </si>
  <si>
    <t>Kyntel</t>
  </si>
  <si>
    <t>Germany</t>
  </si>
  <si>
    <t>2000ml</t>
  </si>
  <si>
    <t>1000ml</t>
  </si>
  <si>
    <t>Labbox</t>
  </si>
  <si>
    <t>Pyrex</t>
  </si>
  <si>
    <t>800ml</t>
  </si>
  <si>
    <t>Iso Lab</t>
  </si>
  <si>
    <t>600ml</t>
  </si>
  <si>
    <t>Glassco</t>
  </si>
  <si>
    <t>Lasany</t>
  </si>
  <si>
    <t>Labconco</t>
  </si>
  <si>
    <t>400ml</t>
  </si>
  <si>
    <t>250ml</t>
  </si>
  <si>
    <t>Usa Lab</t>
  </si>
  <si>
    <t>Giardino</t>
  </si>
  <si>
    <t>100ml</t>
  </si>
  <si>
    <t>Kymax</t>
  </si>
  <si>
    <t>Normax</t>
  </si>
  <si>
    <t>50ml</t>
  </si>
  <si>
    <t>25ml</t>
  </si>
  <si>
    <t>LBY Germany</t>
  </si>
  <si>
    <t>10ml</t>
  </si>
  <si>
    <t>Probeta graduada</t>
  </si>
  <si>
    <t>Sin marca</t>
  </si>
  <si>
    <t>LBY</t>
  </si>
  <si>
    <t>Magcobar</t>
  </si>
  <si>
    <t>Fortuna</t>
  </si>
  <si>
    <t>5ml</t>
  </si>
  <si>
    <t>Plato de cultivo petri</t>
  </si>
  <si>
    <t>Luna de reloj</t>
  </si>
  <si>
    <t>Tubo de ensayo(tapa rosca) 20ml</t>
  </si>
  <si>
    <t>PYREX</t>
  </si>
  <si>
    <t>Tubo de ensayo(tapa rosca) 30ml</t>
  </si>
  <si>
    <t>Tubo de ensayo(tapa rosca) 50ml</t>
  </si>
  <si>
    <t xml:space="preserve">Tubo de ensayo </t>
  </si>
  <si>
    <t>15 ml</t>
  </si>
  <si>
    <t>Tubo de ensayo (anchos)</t>
  </si>
  <si>
    <t>Caja de placa petri (antiguo)</t>
  </si>
  <si>
    <t>101 x 15</t>
  </si>
  <si>
    <t>Pipeta de bulbo</t>
  </si>
  <si>
    <t>Pipeta</t>
  </si>
  <si>
    <t>Pipeta graduada</t>
  </si>
  <si>
    <t>Bomba de decantación</t>
  </si>
  <si>
    <t>NORMAX</t>
  </si>
  <si>
    <t>Fiola</t>
  </si>
  <si>
    <t>Brand</t>
  </si>
  <si>
    <t>25 ml</t>
  </si>
  <si>
    <t>Desecadores (inoperativos)</t>
  </si>
  <si>
    <t xml:space="preserve">Desecadores </t>
  </si>
  <si>
    <t xml:space="preserve">Embudo </t>
  </si>
  <si>
    <t>200ml</t>
  </si>
  <si>
    <t>75ml</t>
  </si>
  <si>
    <t>NN</t>
  </si>
  <si>
    <t>Frascos de vidrio</t>
  </si>
  <si>
    <t>2L</t>
  </si>
  <si>
    <t>Boeco Germany</t>
  </si>
  <si>
    <t>Simax</t>
  </si>
  <si>
    <t xml:space="preserve">Matraz Erlenmeyer </t>
  </si>
  <si>
    <t xml:space="preserve">125ml </t>
  </si>
  <si>
    <t>Premier</t>
  </si>
  <si>
    <t>Matraz kitasato</t>
  </si>
  <si>
    <t>Matraz Kjeldahl</t>
  </si>
  <si>
    <t>Tubo de vidrio</t>
  </si>
  <si>
    <t>Suprema</t>
  </si>
  <si>
    <t>Balón defondo redondo</t>
  </si>
  <si>
    <t xml:space="preserve">Normax </t>
  </si>
  <si>
    <t>Superior</t>
  </si>
  <si>
    <t>20ml</t>
  </si>
  <si>
    <t>MEDIDAS/VOLUMEN</t>
  </si>
  <si>
    <t xml:space="preserve">INVENTARIO DE MATERIALES  </t>
  </si>
  <si>
    <t>CODIGO</t>
  </si>
  <si>
    <t>ESTADO</t>
  </si>
  <si>
    <t>60221804-0003</t>
  </si>
  <si>
    <t>HIGH-QUALITY COLORIMETER NR60CP</t>
  </si>
  <si>
    <t>OPERATIVO</t>
  </si>
  <si>
    <t>67363964-0014</t>
  </si>
  <si>
    <t>MOLINO</t>
  </si>
  <si>
    <t>INOPERATIVO</t>
  </si>
  <si>
    <t>67224331-</t>
  </si>
  <si>
    <t>BAÑO MARIA</t>
  </si>
  <si>
    <t xml:space="preserve">INOPERATIVO </t>
  </si>
  <si>
    <t>67225698-0006</t>
  </si>
  <si>
    <t>ESTUFA (BINDEL)</t>
  </si>
  <si>
    <t>799122-02</t>
  </si>
  <si>
    <t>DESCASIFICADOR (LYTON)</t>
  </si>
  <si>
    <t>53229331-0021</t>
  </si>
  <si>
    <t>ROTAVAPOR (DLAB)</t>
  </si>
  <si>
    <t>67220764-0038</t>
  </si>
  <si>
    <t>MOTOR DE ROTAVAPOR</t>
  </si>
  <si>
    <t>COMPRESOR DE AIRE (SCHULZ)</t>
  </si>
  <si>
    <t>ESPECTROFOTÓMETRO DE ABSORCIÓN</t>
  </si>
  <si>
    <t>SIN CÓDIGO</t>
  </si>
  <si>
    <t xml:space="preserve">AGITADOR MÁGNETICO </t>
  </si>
  <si>
    <t>04220240-0065</t>
  </si>
  <si>
    <t>53226680-0004</t>
  </si>
  <si>
    <t>HOMOGENIZADOR ULTRATURAX</t>
  </si>
  <si>
    <t>67224331-0056</t>
  </si>
  <si>
    <t xml:space="preserve">OPERATIVO </t>
  </si>
  <si>
    <t>DESTILADOR DE AGUA</t>
  </si>
  <si>
    <t>B090ZZ2</t>
  </si>
  <si>
    <t>CÁMARA CLIMÁTICA</t>
  </si>
  <si>
    <t>53227856-0534</t>
  </si>
  <si>
    <t>MICROSCOPIO</t>
  </si>
  <si>
    <t>60220634-0078</t>
  </si>
  <si>
    <t>BALANZA ANALITICA</t>
  </si>
  <si>
    <t>60226820-0012</t>
  </si>
  <si>
    <t>POTENCIOMETRO</t>
  </si>
  <si>
    <t>20E05022</t>
  </si>
  <si>
    <t>HPLC</t>
  </si>
  <si>
    <t>MXJ9060LYR</t>
  </si>
  <si>
    <t>PC (CONECTADO AL HPLC)</t>
  </si>
  <si>
    <t>ESPECTROFOTÓMETRO FLOURESCENTE</t>
  </si>
  <si>
    <t>11226188-0011</t>
  </si>
  <si>
    <t>REFRIGERADOR</t>
  </si>
  <si>
    <t>INVENTARIO DE EQUIPOS</t>
  </si>
  <si>
    <t xml:space="preserve">MATERIALES DE LIMPIEZA  </t>
  </si>
  <si>
    <t>ARTÍCULOS</t>
  </si>
  <si>
    <t>Detergente</t>
  </si>
  <si>
    <t>Legias (3.8L)</t>
  </si>
  <si>
    <t>Jabon liquido (4L)</t>
  </si>
  <si>
    <t>Jabon antibacterial (4L)</t>
  </si>
  <si>
    <t>Virutex (20 unidades)</t>
  </si>
  <si>
    <t>Bolsa de basura (50unidades)</t>
  </si>
  <si>
    <t>Par de guantes virutex</t>
  </si>
  <si>
    <t xml:space="preserve">Lava vajillas grandes </t>
  </si>
  <si>
    <t>Toallas de tela</t>
  </si>
  <si>
    <t xml:space="preserve">Papel toalla </t>
  </si>
  <si>
    <t xml:space="preserve">Pares de toallas de mano </t>
  </si>
  <si>
    <t>Escobilla</t>
  </si>
  <si>
    <t>NOMBRE DE ARTÍCULOS</t>
  </si>
  <si>
    <t>MATERIALES DE OFICINA</t>
  </si>
  <si>
    <t>Cuadernos</t>
  </si>
  <si>
    <t>Reglas (30cm)4</t>
  </si>
  <si>
    <t>Folders</t>
  </si>
  <si>
    <t>Paq, sobre manila (A4)</t>
  </si>
  <si>
    <t xml:space="preserve">Paq de fundas de Porta papel  </t>
  </si>
  <si>
    <t>Tableros</t>
  </si>
  <si>
    <t>Tijeras</t>
  </si>
  <si>
    <t xml:space="preserve">Correctores </t>
  </si>
  <si>
    <t xml:space="preserve">Paq, de bolsa hermética </t>
  </si>
  <si>
    <t>Caja de Rotuladores</t>
  </si>
  <si>
    <t xml:space="preserve"> Adesivas diferentes colores</t>
  </si>
  <si>
    <t>Lapiceros</t>
  </si>
  <si>
    <t xml:space="preserve">Caja de plumon para pizarra blanca </t>
  </si>
  <si>
    <t xml:space="preserve">Borrador de pizarras </t>
  </si>
  <si>
    <t>saca grapas</t>
  </si>
  <si>
    <t xml:space="preserve">Tintes de tampon </t>
  </si>
  <si>
    <t xml:space="preserve">Limpiatipos </t>
  </si>
  <si>
    <t>Chinche</t>
  </si>
  <si>
    <t>Caja de grapa</t>
  </si>
  <si>
    <t xml:space="preserve">Engranpador </t>
  </si>
  <si>
    <t xml:space="preserve">Marcadores </t>
  </si>
  <si>
    <t xml:space="preserve">Almohadillas para sellos </t>
  </si>
  <si>
    <t xml:space="preserve">Perforador </t>
  </si>
  <si>
    <t xml:space="preserve">Cajitas Clips metalicos </t>
  </si>
  <si>
    <t xml:space="preserve">Faster de metal </t>
  </si>
  <si>
    <t xml:space="preserve">Cajas de  papel aluminio  </t>
  </si>
  <si>
    <t>Caja de plumon grueso</t>
  </si>
  <si>
    <t>Cajas de ligas</t>
  </si>
  <si>
    <t>Bolsa de ligas grandes</t>
  </si>
  <si>
    <t xml:space="preserve">Paq de bolsa 10 x 15 </t>
  </si>
  <si>
    <t>Gomas pequeñas</t>
  </si>
  <si>
    <t xml:space="preserve">Siliconas pequenas </t>
  </si>
  <si>
    <t>Cajas de clips mariposas</t>
  </si>
  <si>
    <t>Cajas de index tabs</t>
  </si>
  <si>
    <t xml:space="preserve">cajas de plumones para papel </t>
  </si>
  <si>
    <t xml:space="preserve">Porta clips </t>
  </si>
  <si>
    <t>Cajas de chinche</t>
  </si>
  <si>
    <t>Cajas de grapas</t>
  </si>
  <si>
    <t>Cinta makistype grande</t>
  </si>
  <si>
    <t xml:space="preserve">Cinta Scotch grande </t>
  </si>
  <si>
    <t>caja de lapiceros</t>
  </si>
  <si>
    <t xml:space="preserve">Caja de marcadores </t>
  </si>
  <si>
    <t xml:space="preserve">Cuchillas </t>
  </si>
  <si>
    <t>caja de papel bond</t>
  </si>
  <si>
    <t xml:space="preserve">paq, sobres de papel A4 </t>
  </si>
  <si>
    <t xml:space="preserve">paq sobre de manila medio oficio </t>
  </si>
  <si>
    <t>Folder A4</t>
  </si>
  <si>
    <t>pizarras blancas</t>
  </si>
  <si>
    <t>Extintores</t>
  </si>
  <si>
    <t>NOMBRE DE MATERIALES (VIDRIO)</t>
  </si>
  <si>
    <t xml:space="preserve">Estante de metal </t>
  </si>
  <si>
    <t>Estante de madera</t>
  </si>
  <si>
    <t>Escritorio</t>
  </si>
  <si>
    <t>74646084-0617</t>
  </si>
  <si>
    <t>74649408-1611</t>
  </si>
  <si>
    <t>Silla larga</t>
  </si>
  <si>
    <t>74649408-1616</t>
  </si>
  <si>
    <t>74649408-2244</t>
  </si>
  <si>
    <t>74649408-1620</t>
  </si>
  <si>
    <t>74648119-1146</t>
  </si>
  <si>
    <t>Silla de madera</t>
  </si>
  <si>
    <t>74648468-0018</t>
  </si>
  <si>
    <t>74648458-0021</t>
  </si>
  <si>
    <t>silla de madera</t>
  </si>
  <si>
    <t>74648458-0020</t>
  </si>
  <si>
    <t>74649408-2243</t>
  </si>
  <si>
    <t>74640592-0245</t>
  </si>
  <si>
    <t>Armario</t>
  </si>
  <si>
    <t>74640591-0243</t>
  </si>
  <si>
    <t>74649408-1612</t>
  </si>
  <si>
    <t>74649408-1613</t>
  </si>
  <si>
    <t>74649408-2221</t>
  </si>
  <si>
    <t>74649408-1614</t>
  </si>
  <si>
    <t>74649408-1618</t>
  </si>
  <si>
    <t>74649408-1615</t>
  </si>
  <si>
    <t>Silla con soporte</t>
  </si>
  <si>
    <t>Sin código</t>
  </si>
  <si>
    <t>74640592-0242</t>
  </si>
  <si>
    <t xml:space="preserve">sillas con soporte </t>
  </si>
  <si>
    <t xml:space="preserve">sillas largas </t>
  </si>
  <si>
    <t>Sillas de madera</t>
  </si>
  <si>
    <t xml:space="preserve">INVENTARIO DE ARTICULOS DE MADERA Y METAL </t>
  </si>
  <si>
    <t>MATERIAL DE CÉRAMICA</t>
  </si>
  <si>
    <t>Crisoles</t>
  </si>
  <si>
    <t>morteros</t>
  </si>
  <si>
    <t>Embudo de Buchner</t>
  </si>
  <si>
    <t>ABTS(2,2-Azino-bis(3-ethylbenzothiazoline-6-sulfonicacid)</t>
  </si>
  <si>
    <t>envase blanco tapa roja</t>
  </si>
  <si>
    <t>2G</t>
  </si>
  <si>
    <t>1G</t>
  </si>
  <si>
    <t>500mg</t>
  </si>
  <si>
    <t>sf</t>
  </si>
  <si>
    <t>3 a 8 °C</t>
  </si>
  <si>
    <t>STBH6773</t>
  </si>
  <si>
    <t xml:space="preserve">2,3-Dichlorphenol 98% </t>
  </si>
  <si>
    <t>envase ambar</t>
  </si>
  <si>
    <t>25g</t>
  </si>
  <si>
    <t>REFRIGERACION</t>
  </si>
  <si>
    <t>ABTS</t>
  </si>
  <si>
    <t>Envase azul</t>
  </si>
  <si>
    <t>2g</t>
  </si>
  <si>
    <t>envase ambar tapa azul</t>
  </si>
  <si>
    <t xml:space="preserve">envase ambar tapa azul </t>
  </si>
  <si>
    <t>50mg</t>
  </si>
  <si>
    <t>1GR</t>
  </si>
  <si>
    <t xml:space="preserve">Acido Trichloroacetico </t>
  </si>
  <si>
    <t>envase de aluminio</t>
  </si>
  <si>
    <t>5G</t>
  </si>
  <si>
    <t>2,6-Dichloroindophenol sodium salt hydrate</t>
  </si>
  <si>
    <t>Ebvase ambar</t>
  </si>
  <si>
    <t xml:space="preserve"> 100 G</t>
  </si>
  <si>
    <t>N-Propyl gallate</t>
  </si>
  <si>
    <t>Buffer solution</t>
  </si>
  <si>
    <t>envase de plastico</t>
  </si>
  <si>
    <t>ISOLAB</t>
  </si>
  <si>
    <t>Buffer solution (PH4)</t>
  </si>
  <si>
    <t>Buffer solution (PH7)</t>
  </si>
  <si>
    <t>Buffer solution (PH10)</t>
  </si>
  <si>
    <t>HC97772475</t>
  </si>
  <si>
    <t>HC98149100</t>
  </si>
  <si>
    <t>LR3331310ALW</t>
  </si>
  <si>
    <t>LR3341304ARW</t>
  </si>
  <si>
    <t>Supelco</t>
  </si>
  <si>
    <t>Fumarato ferroso</t>
  </si>
  <si>
    <t xml:space="preserve">frasco de vidrio </t>
  </si>
  <si>
    <t>sin cod</t>
  </si>
  <si>
    <t>Kuromanin Chloride</t>
  </si>
  <si>
    <t>Envase ambar</t>
  </si>
  <si>
    <t>1MG</t>
  </si>
  <si>
    <t>Transglutaminasa</t>
  </si>
  <si>
    <t>envase transparente</t>
  </si>
  <si>
    <t>1UN</t>
  </si>
  <si>
    <t>6-Hidroxy-2,5,7,8-tetramethylchromane</t>
  </si>
  <si>
    <t>Cis-5,8,11,14,17-Acido eicosapentanoico</t>
  </si>
  <si>
    <t>empaque de papel</t>
  </si>
  <si>
    <t>10MG</t>
  </si>
  <si>
    <t>Cis-4,7,10,13,16,19--Acido eicosapentanoico</t>
  </si>
  <si>
    <t>25MG</t>
  </si>
  <si>
    <t>PREMIX</t>
  </si>
  <si>
    <t>800gr</t>
  </si>
  <si>
    <t>Saco de pectina</t>
  </si>
  <si>
    <t>Saco de maltodextrina</t>
  </si>
  <si>
    <t>Saco de Inulina</t>
  </si>
  <si>
    <t>Bidon blanco</t>
  </si>
  <si>
    <t>2NC0177</t>
  </si>
  <si>
    <t>INVENTARIO DE INSUMOS QUÍMICOS (SOLVENTES) - 30/06/2026</t>
  </si>
  <si>
    <t>Z0950317437</t>
  </si>
  <si>
    <t>Z0972131503</t>
  </si>
  <si>
    <t>Rojo de Metilo</t>
  </si>
  <si>
    <t>Scharlau</t>
  </si>
  <si>
    <t>100gr</t>
  </si>
  <si>
    <t>S/F</t>
  </si>
  <si>
    <t>Hexano</t>
  </si>
  <si>
    <t>k55965174421</t>
  </si>
  <si>
    <t>Acetato de sodio</t>
  </si>
  <si>
    <t>AM1875768232</t>
  </si>
  <si>
    <t>AM1982749346</t>
  </si>
  <si>
    <t>1-Naphthol</t>
  </si>
  <si>
    <t>Ácido oxalico</t>
  </si>
  <si>
    <t>Dihidratado tungstato de sodio</t>
  </si>
  <si>
    <t>Quercetin</t>
  </si>
  <si>
    <t>10g</t>
  </si>
  <si>
    <t xml:space="preserve">chitosan </t>
  </si>
  <si>
    <t>Cloruro de Aluminio</t>
  </si>
  <si>
    <t>Frasco de vidrio tapa azul</t>
  </si>
  <si>
    <t>50g</t>
  </si>
  <si>
    <t>Alginato de sodio, plant..</t>
  </si>
  <si>
    <t>PCT13117</t>
  </si>
  <si>
    <t xml:space="preserve">Inulina </t>
  </si>
  <si>
    <t>frasco ambar</t>
  </si>
  <si>
    <t>Maltodextrina</t>
  </si>
  <si>
    <t>frasco plastico rojo</t>
  </si>
  <si>
    <t>500GR</t>
  </si>
  <si>
    <t>frasco plastico amarillo</t>
  </si>
  <si>
    <t>A0074404009</t>
  </si>
  <si>
    <t xml:space="preserve">Cloruro de calcio </t>
  </si>
  <si>
    <t>env. Blanc</t>
  </si>
  <si>
    <t>100GR</t>
  </si>
  <si>
    <t xml:space="preserve">Citrato de sodio </t>
  </si>
  <si>
    <t>AM2112468512</t>
  </si>
  <si>
    <t>Ácido ascorbico</t>
  </si>
  <si>
    <t>K51646768933</t>
  </si>
  <si>
    <t>C1977</t>
  </si>
  <si>
    <t>Ácido sulfurico</t>
  </si>
  <si>
    <t>Ácido clorhidrido 37%</t>
  </si>
  <si>
    <t>k51900931942</t>
  </si>
  <si>
    <t xml:space="preserve">Benzine petroleum </t>
  </si>
  <si>
    <t>K53983075205</t>
  </si>
  <si>
    <t>Z0714717105</t>
  </si>
  <si>
    <t>Placas Petri</t>
  </si>
  <si>
    <t>5kg</t>
  </si>
  <si>
    <t>INVENTARIO DE REACTIVOS QUÍMICOS ANALÍTICOS (SALES Y BASES) - 30/06/2026</t>
  </si>
  <si>
    <t>INVENTARIO DE INSUMOS QUÍMICOS (ÁCIDOS) - 30/06/2026</t>
  </si>
  <si>
    <t>INVENTARIO DE INSUMOS - POLÍMEROS Y OTROS -  30 /06/2026</t>
  </si>
  <si>
    <t>INVENTARIO DE INSUMOS QUÍMICOS VENCIDOS -  30 /06/2026</t>
  </si>
  <si>
    <t>INVENTARIO DE INSUMOS QUÍMICOS (REACTIVOS Y ENCIMAS) - 30/06/2026</t>
  </si>
  <si>
    <t>2,2-Difenil-1-picrilhidrazilo (DPPH)</t>
  </si>
  <si>
    <t>Frasco ámbar pequeño en bolsa</t>
  </si>
  <si>
    <t>Sigma-Aldrich</t>
  </si>
  <si>
    <t>D9132-1G</t>
  </si>
  <si>
    <t>2 a 8° C</t>
  </si>
  <si>
    <t>Frasco plástico blanco con tapa roja (Refr. +2°C a +8°C)</t>
  </si>
  <si>
    <t>A1888-1G</t>
  </si>
  <si>
    <t>Frasco pequeño de vidrio ámbar con tapa roja (Refr. +2°C a +8°C)</t>
  </si>
  <si>
    <t>T6399-5G</t>
  </si>
  <si>
    <t>5 g</t>
  </si>
  <si>
    <t>Envase plástico blanco con tapa roja</t>
  </si>
  <si>
    <t>G7384-250G</t>
  </si>
  <si>
    <t>Envase plástico blanco con tapa gris</t>
  </si>
  <si>
    <t>1.05091.0250</t>
  </si>
  <si>
    <t>Matraz con tapa rosca</t>
  </si>
  <si>
    <t>Erlenmeyer de vidrio borosilicato 3.3 (250 mL), Tapa azul, Lote 1204 SC 4</t>
  </si>
  <si>
    <t>Biohall</t>
  </si>
  <si>
    <t>Vasos graduados de vidrio</t>
  </si>
  <si>
    <t>Glassco / Boro 3.3</t>
  </si>
  <si>
    <t>50 ml</t>
  </si>
  <si>
    <t>10 ml</t>
  </si>
  <si>
    <t>Jeringa</t>
  </si>
  <si>
    <t>Jeringas plásticas de dosificación</t>
  </si>
  <si>
    <t>Microtubos</t>
  </si>
  <si>
    <t>Microtubos tipo Eppendorf plásticos con tapa (1.5 - 2 mL)</t>
  </si>
  <si>
    <t>2 ml</t>
  </si>
  <si>
    <t>Goteros</t>
  </si>
  <si>
    <t>Pipetas plásticas de transferencia integral</t>
  </si>
  <si>
    <t>Piseta</t>
  </si>
  <si>
    <t>Frasco lavador plástico con boquilla curva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</si>
</sst>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name val="Arial"/>
      <family val="2"/>
    </font>
    <font>
      <b/>
      <sz val="11"/>
      <color theme="0"/>
      <name val="Calibri"/>
      <family val="2"/>
      <scheme val="minor"/>
    </font>
    <font>
      <b/>
      <sz val="9"/>
      <color theme="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B050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sz val="14"/>
      <color theme="0"/>
      <name val="Calibri"/>
      <family val="2"/>
      <scheme val="minor"/>
    </font>
    <font>
      <sz val="11"/>
      <color theme="0"/>
      <name val="Arial"/>
      <family val="2"/>
    </font>
    <font>
      <b/>
      <sz val="11"/>
      <color rgb="FFFFFFFF"/>
      <name val="Arial"/>
      <family val="2"/>
    </font>
    <font>
      <sz val="10"/>
      <name val="Arial"/>
      <family val="2"/>
    </font>
    <font>
      <sz val="11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1B365D"/>
        <bgColor rgb="FF1B365D"/>
      </patternFill>
    </fill>
    <fill>
      <patternFill patternType="solid">
        <fgColor rgb="FFFFFFFF"/>
        <bgColor rgb="FFFFFFFF"/>
      </patternFill>
    </fill>
    <fill>
      <patternFill patternType="solid">
        <fgColor rgb="FFF2F4F8"/>
        <bgColor rgb="FFF2F4F8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rgb="FFD3D3D3"/>
      </left>
      <right style="thin">
        <color rgb="FFD3D3D3"/>
      </right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/>
      <diagonal/>
    </border>
  </borders>
  <cellStyleXfs count="2">
    <xf numFmtId="0" fontId="0" fillId="0" borderId="0"/>
    <xf numFmtId="0" fontId="12" fillId="0" borderId="0"/>
  </cellStyleXfs>
  <cellXfs count="102">
    <xf numFmtId="0" fontId="0" fillId="0" borderId="0" xfId="0"/>
    <xf numFmtId="0" fontId="1" fillId="0" borderId="0" xfId="0" applyFont="1" applyAlignment="1">
      <alignment horizontal="left" vertical="center" wrapText="1" indent="1"/>
    </xf>
    <xf numFmtId="0" fontId="0" fillId="0" borderId="1" xfId="0" applyBorder="1"/>
    <xf numFmtId="14" fontId="0" fillId="0" borderId="1" xfId="0" applyNumberFormat="1" applyBorder="1" applyAlignment="1">
      <alignment horizontal="center" vertical="center"/>
    </xf>
    <xf numFmtId="17" fontId="0" fillId="0" borderId="1" xfId="0" applyNumberFormat="1" applyBorder="1" applyAlignment="1">
      <alignment horizontal="center" vertical="center"/>
    </xf>
    <xf numFmtId="0" fontId="0" fillId="0" borderId="4" xfId="0" applyBorder="1"/>
    <xf numFmtId="0" fontId="0" fillId="0" borderId="1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14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left"/>
    </xf>
    <xf numFmtId="0" fontId="6" fillId="0" borderId="1" xfId="0" applyFont="1" applyBorder="1"/>
    <xf numFmtId="0" fontId="6" fillId="0" borderId="1" xfId="0" applyFont="1" applyBorder="1" applyAlignment="1">
      <alignment horizontal="center" vertical="center"/>
    </xf>
    <xf numFmtId="14" fontId="6" fillId="0" borderId="1" xfId="0" applyNumberFormat="1" applyFont="1" applyBorder="1" applyAlignment="1">
      <alignment horizontal="center" vertical="center"/>
    </xf>
    <xf numFmtId="17" fontId="6" fillId="0" borderId="1" xfId="0" applyNumberFormat="1" applyFont="1" applyBorder="1" applyAlignment="1">
      <alignment horizontal="center" vertical="center"/>
    </xf>
    <xf numFmtId="0" fontId="0" fillId="3" borderId="1" xfId="0" applyFill="1" applyBorder="1"/>
    <xf numFmtId="0" fontId="0" fillId="3" borderId="1" xfId="0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/>
    </xf>
    <xf numFmtId="0" fontId="6" fillId="0" borderId="4" xfId="0" applyFont="1" applyBorder="1" applyAlignment="1">
      <alignment horizontal="center" vertical="center"/>
    </xf>
    <xf numFmtId="0" fontId="7" fillId="3" borderId="0" xfId="0" applyFont="1" applyFill="1"/>
    <xf numFmtId="0" fontId="6" fillId="0" borderId="6" xfId="0" applyFont="1" applyBorder="1" applyAlignment="1">
      <alignment horizontal="center" vertical="center"/>
    </xf>
    <xf numFmtId="14" fontId="6" fillId="0" borderId="6" xfId="0" applyNumberFormat="1" applyFont="1" applyBorder="1" applyAlignment="1">
      <alignment horizontal="center" vertical="center"/>
    </xf>
    <xf numFmtId="11" fontId="0" fillId="0" borderId="1" xfId="0" applyNumberFormat="1" applyBorder="1" applyAlignment="1">
      <alignment horizontal="left"/>
    </xf>
    <xf numFmtId="0" fontId="0" fillId="0" borderId="0" xfId="0" applyAlignment="1">
      <alignment horizontal="center"/>
    </xf>
    <xf numFmtId="0" fontId="0" fillId="0" borderId="4" xfId="0" applyBorder="1" applyAlignment="1">
      <alignment horizontal="center"/>
    </xf>
    <xf numFmtId="0" fontId="6" fillId="3" borderId="1" xfId="0" applyFont="1" applyFill="1" applyBorder="1" applyAlignment="1">
      <alignment horizontal="center" vertic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 vertical="center"/>
    </xf>
    <xf numFmtId="0" fontId="11" fillId="2" borderId="0" xfId="0" applyFont="1" applyFill="1"/>
    <xf numFmtId="0" fontId="0" fillId="3" borderId="1" xfId="0" applyFill="1" applyBorder="1" applyAlignment="1">
      <alignment horizontal="center"/>
    </xf>
    <xf numFmtId="0" fontId="10" fillId="3" borderId="1" xfId="0" applyFont="1" applyFill="1" applyBorder="1" applyAlignment="1">
      <alignment horizontal="center"/>
    </xf>
    <xf numFmtId="0" fontId="0" fillId="3" borderId="4" xfId="0" applyFill="1" applyBorder="1" applyAlignment="1">
      <alignment horizontal="center" vertical="center"/>
    </xf>
    <xf numFmtId="17" fontId="0" fillId="3" borderId="4" xfId="0" applyNumberFormat="1" applyFill="1" applyBorder="1" applyAlignment="1">
      <alignment horizontal="center" vertical="center"/>
    </xf>
    <xf numFmtId="14" fontId="0" fillId="3" borderId="1" xfId="0" applyNumberFormat="1" applyFill="1" applyBorder="1" applyAlignment="1">
      <alignment horizontal="center" vertical="center"/>
    </xf>
    <xf numFmtId="17" fontId="0" fillId="3" borderId="1" xfId="0" applyNumberForma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10" xfId="0" applyFill="1" applyBorder="1" applyAlignment="1">
      <alignment horizontal="center" vertical="center"/>
    </xf>
    <xf numFmtId="0" fontId="0" fillId="0" borderId="10" xfId="0" applyBorder="1"/>
    <xf numFmtId="0" fontId="8" fillId="3" borderId="0" xfId="0" applyFont="1" applyFill="1"/>
    <xf numFmtId="0" fontId="0" fillId="0" borderId="2" xfId="0" applyBorder="1"/>
    <xf numFmtId="0" fontId="6" fillId="3" borderId="1" xfId="0" applyFont="1" applyFill="1" applyBorder="1" applyAlignment="1">
      <alignment horizontal="center"/>
    </xf>
    <xf numFmtId="17" fontId="0" fillId="3" borderId="1" xfId="0" applyNumberFormat="1" applyFill="1" applyBorder="1" applyAlignment="1">
      <alignment horizontal="center"/>
    </xf>
    <xf numFmtId="0" fontId="6" fillId="0" borderId="6" xfId="0" applyFont="1" applyBorder="1" applyAlignment="1">
      <alignment horizontal="center"/>
    </xf>
    <xf numFmtId="11" fontId="0" fillId="0" borderId="1" xfId="0" applyNumberFormat="1" applyBorder="1" applyAlignment="1">
      <alignment horizontal="center"/>
    </xf>
    <xf numFmtId="14" fontId="0" fillId="3" borderId="1" xfId="0" applyNumberFormat="1" applyFill="1" applyBorder="1" applyAlignment="1">
      <alignment horizontal="center"/>
    </xf>
    <xf numFmtId="14" fontId="6" fillId="3" borderId="1" xfId="0" applyNumberFormat="1" applyFont="1" applyFill="1" applyBorder="1" applyAlignment="1">
      <alignment horizontal="center" vertical="center"/>
    </xf>
    <xf numFmtId="17" fontId="6" fillId="3" borderId="1" xfId="0" applyNumberFormat="1" applyFont="1" applyFill="1" applyBorder="1" applyAlignment="1">
      <alignment horizontal="center" vertical="center"/>
    </xf>
    <xf numFmtId="17" fontId="0" fillId="0" borderId="1" xfId="0" applyNumberFormat="1" applyBorder="1" applyAlignment="1">
      <alignment horizontal="center"/>
    </xf>
    <xf numFmtId="0" fontId="0" fillId="0" borderId="11" xfId="0" applyBorder="1"/>
    <xf numFmtId="0" fontId="1" fillId="3" borderId="0" xfId="0" applyFont="1" applyFill="1" applyAlignment="1">
      <alignment horizontal="left" vertical="center" wrapText="1" indent="1"/>
    </xf>
    <xf numFmtId="0" fontId="5" fillId="3" borderId="1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0" fillId="3" borderId="4" xfId="0" applyFill="1" applyBorder="1" applyAlignment="1">
      <alignment horizontal="center"/>
    </xf>
    <xf numFmtId="0" fontId="0" fillId="3" borderId="1" xfId="0" applyFill="1" applyBorder="1" applyAlignment="1">
      <alignment horizontal="center" wrapText="1"/>
    </xf>
    <xf numFmtId="0" fontId="3" fillId="3" borderId="0" xfId="0" applyFont="1" applyFill="1" applyAlignment="1">
      <alignment horizontal="center" vertical="center" wrapText="1"/>
    </xf>
    <xf numFmtId="0" fontId="3" fillId="3" borderId="10" xfId="0" applyFont="1" applyFill="1" applyBorder="1" applyAlignment="1">
      <alignment horizontal="center" vertical="center" wrapText="1"/>
    </xf>
    <xf numFmtId="0" fontId="0" fillId="3" borderId="6" xfId="0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 wrapText="1"/>
    </xf>
    <xf numFmtId="49" fontId="14" fillId="4" borderId="1" xfId="0" applyNumberFormat="1" applyFont="1" applyFill="1" applyBorder="1" applyAlignment="1" applyProtection="1">
      <alignment horizontal="center" vertical="center" wrapText="1"/>
      <protection locked="0"/>
    </xf>
    <xf numFmtId="0" fontId="14" fillId="4" borderId="1" xfId="0" applyFont="1" applyFill="1" applyBorder="1" applyAlignment="1" applyProtection="1">
      <alignment horizontal="center" vertical="center" wrapText="1"/>
      <protection locked="0"/>
    </xf>
    <xf numFmtId="0" fontId="14" fillId="4" borderId="1" xfId="0" applyFont="1" applyFill="1" applyBorder="1" applyAlignment="1" applyProtection="1">
      <alignment horizontal="center" vertical="center" wrapText="1"/>
      <protection hidden="1"/>
    </xf>
    <xf numFmtId="0" fontId="2" fillId="4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center"/>
    </xf>
    <xf numFmtId="0" fontId="11" fillId="4" borderId="1" xfId="0" applyFont="1" applyFill="1" applyBorder="1"/>
    <xf numFmtId="0" fontId="11" fillId="4" borderId="7" xfId="0" applyFont="1" applyFill="1" applyBorder="1" applyAlignment="1">
      <alignment horizontal="center"/>
    </xf>
    <xf numFmtId="0" fontId="11" fillId="4" borderId="7" xfId="0" applyFont="1" applyFill="1" applyBorder="1"/>
    <xf numFmtId="0" fontId="15" fillId="5" borderId="12" xfId="1" applyFont="1" applyFill="1" applyBorder="1" applyAlignment="1">
      <alignment horizontal="center" vertical="center"/>
    </xf>
    <xf numFmtId="0" fontId="15" fillId="5" borderId="13" xfId="1" applyFont="1" applyFill="1" applyBorder="1" applyAlignment="1">
      <alignment horizontal="center" vertical="center"/>
    </xf>
    <xf numFmtId="0" fontId="16" fillId="6" borderId="1" xfId="1" applyFont="1" applyFill="1" applyBorder="1" applyAlignment="1">
      <alignment horizontal="center" vertical="center"/>
    </xf>
    <xf numFmtId="0" fontId="12" fillId="0" borderId="1" xfId="1" applyBorder="1" applyAlignment="1">
      <alignment horizontal="center"/>
    </xf>
    <xf numFmtId="0" fontId="16" fillId="7" borderId="1" xfId="1" applyFont="1" applyFill="1" applyBorder="1" applyAlignment="1">
      <alignment horizontal="center" vertical="center"/>
    </xf>
    <xf numFmtId="0" fontId="17" fillId="0" borderId="1" xfId="1" applyFont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2" fillId="2" borderId="8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0" fillId="3" borderId="6" xfId="0" applyFill="1" applyBorder="1" applyAlignment="1">
      <alignment horizontal="center" vertical="center"/>
    </xf>
    <xf numFmtId="0" fontId="0" fillId="3" borderId="7" xfId="0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3" fillId="4" borderId="9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11" fillId="4" borderId="2" xfId="0" applyFont="1" applyFill="1" applyBorder="1" applyAlignment="1">
      <alignment horizontal="center"/>
    </xf>
    <xf numFmtId="0" fontId="11" fillId="4" borderId="3" xfId="0" applyFont="1" applyFill="1" applyBorder="1" applyAlignment="1">
      <alignment horizontal="center"/>
    </xf>
    <xf numFmtId="0" fontId="11" fillId="4" borderId="5" xfId="0" applyFont="1" applyFill="1" applyBorder="1" applyAlignment="1">
      <alignment horizontal="center"/>
    </xf>
    <xf numFmtId="0" fontId="11" fillId="4" borderId="1" xfId="0" applyFont="1" applyFill="1" applyBorder="1" applyAlignment="1">
      <alignment horizontal="center"/>
    </xf>
    <xf numFmtId="0" fontId="11" fillId="4" borderId="11" xfId="0" applyFont="1" applyFill="1" applyBorder="1" applyAlignment="1">
      <alignment horizontal="center" vertical="center"/>
    </xf>
  </cellXfs>
  <cellStyles count="2">
    <cellStyle name="Normal" xfId="0" builtinId="0"/>
    <cellStyle name="Normal 2" xfId="1" xr:uid="{84D33F62-9A2E-47DA-B727-D3FEF69438A5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K29"/>
  <sheetViews>
    <sheetView topLeftCell="B1" zoomScale="106" workbookViewId="0">
      <selection activeCell="P9" sqref="P1:P1048576"/>
    </sheetView>
  </sheetViews>
  <sheetFormatPr baseColWidth="10" defaultRowHeight="15" x14ac:dyDescent="0.25"/>
  <cols>
    <col min="1" max="1" width="3.7109375" customWidth="1"/>
    <col min="2" max="2" width="17.85546875" customWidth="1"/>
    <col min="3" max="3" width="8.7109375" customWidth="1"/>
    <col min="4" max="4" width="17.5703125" customWidth="1"/>
    <col min="5" max="5" width="12.85546875" customWidth="1"/>
    <col min="8" max="8" width="5.7109375" customWidth="1"/>
    <col min="10" max="10" width="16.5703125" customWidth="1"/>
    <col min="15" max="15" width="11.7109375" customWidth="1"/>
  </cols>
  <sheetData>
    <row r="2" spans="1:11" x14ac:dyDescent="0.25">
      <c r="A2" s="80" t="s">
        <v>753</v>
      </c>
      <c r="B2" s="81"/>
      <c r="C2" s="81"/>
      <c r="D2" s="81"/>
      <c r="E2" s="81"/>
      <c r="F2" s="81"/>
      <c r="G2" s="81"/>
      <c r="H2" s="81"/>
      <c r="I2" s="81"/>
      <c r="J2" s="82"/>
    </row>
    <row r="3" spans="1:11" ht="24" x14ac:dyDescent="0.25">
      <c r="A3" s="9" t="s">
        <v>1</v>
      </c>
      <c r="B3" s="10" t="s">
        <v>68</v>
      </c>
      <c r="C3" s="10" t="s">
        <v>69</v>
      </c>
      <c r="D3" s="10" t="s">
        <v>0</v>
      </c>
      <c r="E3" s="10" t="s">
        <v>4</v>
      </c>
      <c r="F3" s="10" t="s">
        <v>67</v>
      </c>
      <c r="G3" s="10" t="s">
        <v>5</v>
      </c>
      <c r="H3" s="10" t="s">
        <v>31</v>
      </c>
      <c r="I3" s="10" t="s">
        <v>65</v>
      </c>
      <c r="J3" s="11" t="s">
        <v>334</v>
      </c>
    </row>
    <row r="4" spans="1:11" x14ac:dyDescent="0.25">
      <c r="A4" s="34">
        <v>1</v>
      </c>
      <c r="B4" s="34" t="s">
        <v>103</v>
      </c>
      <c r="C4" s="34" t="s">
        <v>139</v>
      </c>
      <c r="D4" s="30" t="s">
        <v>124</v>
      </c>
      <c r="E4" s="30" t="s">
        <v>192</v>
      </c>
      <c r="F4" s="30" t="s">
        <v>70</v>
      </c>
      <c r="G4" s="30" t="s">
        <v>70</v>
      </c>
      <c r="H4" s="20">
        <v>1</v>
      </c>
      <c r="I4" s="20" t="s">
        <v>2</v>
      </c>
      <c r="J4" s="20"/>
      <c r="K4" s="42"/>
    </row>
    <row r="5" spans="1:11" x14ac:dyDescent="0.25">
      <c r="A5" s="34">
        <v>2</v>
      </c>
      <c r="B5" s="34" t="s">
        <v>226</v>
      </c>
      <c r="C5" s="34" t="s">
        <v>110</v>
      </c>
      <c r="D5" s="30" t="s">
        <v>25</v>
      </c>
      <c r="E5" s="30">
        <v>530443</v>
      </c>
      <c r="F5" s="30" t="s">
        <v>70</v>
      </c>
      <c r="G5" s="30" t="s">
        <v>70</v>
      </c>
      <c r="H5" s="20">
        <v>1</v>
      </c>
      <c r="I5" s="20" t="s">
        <v>10</v>
      </c>
      <c r="J5" s="41" t="s">
        <v>335</v>
      </c>
      <c r="K5" s="42"/>
    </row>
    <row r="6" spans="1:11" x14ac:dyDescent="0.25">
      <c r="A6" s="34">
        <v>3</v>
      </c>
      <c r="B6" s="34" t="s">
        <v>226</v>
      </c>
      <c r="C6" s="34" t="s">
        <v>139</v>
      </c>
      <c r="D6" s="30" t="s">
        <v>25</v>
      </c>
      <c r="E6" s="30">
        <v>530443</v>
      </c>
      <c r="F6" s="30" t="s">
        <v>70</v>
      </c>
      <c r="G6" s="30" t="s">
        <v>70</v>
      </c>
      <c r="H6" s="20">
        <v>1</v>
      </c>
      <c r="I6" s="20" t="s">
        <v>227</v>
      </c>
      <c r="J6" s="41" t="s">
        <v>335</v>
      </c>
      <c r="K6" s="42"/>
    </row>
    <row r="7" spans="1:11" x14ac:dyDescent="0.25">
      <c r="A7" s="34">
        <v>4</v>
      </c>
      <c r="B7" s="34" t="s">
        <v>226</v>
      </c>
      <c r="C7" s="34" t="s">
        <v>139</v>
      </c>
      <c r="D7" s="30" t="s">
        <v>76</v>
      </c>
      <c r="E7" s="30" t="s">
        <v>429</v>
      </c>
      <c r="F7" s="30" t="s">
        <v>70</v>
      </c>
      <c r="G7" s="52">
        <v>46022</v>
      </c>
      <c r="H7" s="20">
        <v>1</v>
      </c>
      <c r="I7" s="20" t="s">
        <v>417</v>
      </c>
      <c r="J7" s="41" t="s">
        <v>335</v>
      </c>
      <c r="K7" s="42"/>
    </row>
    <row r="8" spans="1:11" x14ac:dyDescent="0.25">
      <c r="A8" s="34">
        <v>5</v>
      </c>
      <c r="B8" s="34" t="s">
        <v>421</v>
      </c>
      <c r="C8" s="34" t="s">
        <v>139</v>
      </c>
      <c r="D8" s="30" t="s">
        <v>24</v>
      </c>
      <c r="E8" s="30" t="s">
        <v>222</v>
      </c>
      <c r="F8" s="52"/>
      <c r="G8" s="52"/>
      <c r="H8" s="20">
        <v>1</v>
      </c>
      <c r="I8" s="20" t="s">
        <v>223</v>
      </c>
      <c r="J8" s="41" t="s">
        <v>335</v>
      </c>
      <c r="K8" s="42"/>
    </row>
    <row r="9" spans="1:11" x14ac:dyDescent="0.25">
      <c r="A9" s="34">
        <v>6</v>
      </c>
      <c r="B9" s="34" t="s">
        <v>421</v>
      </c>
      <c r="C9" s="34" t="s">
        <v>110</v>
      </c>
      <c r="D9" s="30" t="s">
        <v>24</v>
      </c>
      <c r="E9" s="30">
        <v>2331105858</v>
      </c>
      <c r="F9" s="52"/>
      <c r="G9" s="52"/>
      <c r="H9" s="20">
        <v>2</v>
      </c>
      <c r="I9" s="20" t="s">
        <v>223</v>
      </c>
      <c r="J9" s="41" t="s">
        <v>335</v>
      </c>
      <c r="K9" s="42"/>
    </row>
    <row r="10" spans="1:11" x14ac:dyDescent="0.25">
      <c r="A10" s="34">
        <v>7</v>
      </c>
      <c r="B10" s="34" t="s">
        <v>263</v>
      </c>
      <c r="C10" s="34" t="s">
        <v>110</v>
      </c>
      <c r="D10" s="30" t="s">
        <v>124</v>
      </c>
      <c r="E10" s="30" t="s">
        <v>124</v>
      </c>
      <c r="F10" s="30" t="s">
        <v>124</v>
      </c>
      <c r="G10" s="30" t="s">
        <v>124</v>
      </c>
      <c r="H10" s="20">
        <v>1</v>
      </c>
      <c r="I10" s="20" t="s">
        <v>28</v>
      </c>
      <c r="J10" s="41" t="s">
        <v>335</v>
      </c>
      <c r="K10" s="42"/>
    </row>
    <row r="11" spans="1:11" x14ac:dyDescent="0.25">
      <c r="A11" s="34">
        <v>8</v>
      </c>
      <c r="B11" s="34" t="s">
        <v>101</v>
      </c>
      <c r="C11" s="34" t="s">
        <v>110</v>
      </c>
      <c r="D11" s="30" t="s">
        <v>102</v>
      </c>
      <c r="E11" s="30" t="s">
        <v>33</v>
      </c>
      <c r="F11" s="30"/>
      <c r="G11" s="30"/>
      <c r="H11" s="20">
        <v>1</v>
      </c>
      <c r="I11" s="20" t="s">
        <v>414</v>
      </c>
      <c r="J11" s="41"/>
      <c r="K11" s="42"/>
    </row>
    <row r="12" spans="1:11" x14ac:dyDescent="0.25">
      <c r="A12" s="34">
        <v>9</v>
      </c>
      <c r="B12" s="34" t="s">
        <v>101</v>
      </c>
      <c r="C12" s="34" t="s">
        <v>110</v>
      </c>
      <c r="D12" s="30" t="s">
        <v>228</v>
      </c>
      <c r="E12" s="30">
        <v>80619</v>
      </c>
      <c r="F12" s="30" t="s">
        <v>70</v>
      </c>
      <c r="G12" s="30" t="s">
        <v>70</v>
      </c>
      <c r="H12" s="20">
        <v>1</v>
      </c>
      <c r="I12" s="20" t="s">
        <v>10</v>
      </c>
      <c r="J12" s="41" t="s">
        <v>335</v>
      </c>
      <c r="K12" s="42"/>
    </row>
    <row r="13" spans="1:11" x14ac:dyDescent="0.25">
      <c r="A13" s="34">
        <v>11</v>
      </c>
      <c r="B13" s="34" t="s">
        <v>416</v>
      </c>
      <c r="C13" s="34" t="s">
        <v>74</v>
      </c>
      <c r="D13" s="30" t="s">
        <v>19</v>
      </c>
      <c r="E13" s="34" t="s">
        <v>755</v>
      </c>
      <c r="F13" s="34"/>
      <c r="G13" s="34"/>
      <c r="H13" s="20">
        <v>1</v>
      </c>
      <c r="I13" s="34" t="s">
        <v>417</v>
      </c>
      <c r="J13" s="34"/>
      <c r="K13" s="42"/>
    </row>
    <row r="14" spans="1:11" ht="30" x14ac:dyDescent="0.25">
      <c r="A14" s="34">
        <v>12</v>
      </c>
      <c r="B14" s="60" t="s">
        <v>418</v>
      </c>
      <c r="C14" s="20" t="s">
        <v>139</v>
      </c>
      <c r="D14" s="30" t="s">
        <v>19</v>
      </c>
      <c r="E14" s="20" t="s">
        <v>754</v>
      </c>
      <c r="F14" s="20"/>
      <c r="G14" s="20"/>
      <c r="H14" s="20">
        <v>1</v>
      </c>
      <c r="I14" s="20" t="s">
        <v>417</v>
      </c>
      <c r="J14" s="34"/>
      <c r="K14" s="42"/>
    </row>
    <row r="15" spans="1:11" x14ac:dyDescent="0.25">
      <c r="A15" s="34">
        <v>13</v>
      </c>
      <c r="B15" s="34" t="s">
        <v>419</v>
      </c>
      <c r="C15" s="34" t="s">
        <v>74</v>
      </c>
      <c r="D15" s="30" t="s">
        <v>8</v>
      </c>
      <c r="E15" s="34" t="s">
        <v>752</v>
      </c>
      <c r="F15" s="34" t="s">
        <v>70</v>
      </c>
      <c r="G15" s="48">
        <v>47150</v>
      </c>
      <c r="H15" s="20">
        <v>2</v>
      </c>
      <c r="I15" s="34" t="s">
        <v>414</v>
      </c>
      <c r="J15" s="34"/>
      <c r="K15" s="42"/>
    </row>
    <row r="16" spans="1:11" x14ac:dyDescent="0.25">
      <c r="A16" s="34">
        <v>14</v>
      </c>
      <c r="B16" s="34" t="s">
        <v>106</v>
      </c>
      <c r="C16" s="34"/>
      <c r="D16" s="30" t="s">
        <v>19</v>
      </c>
      <c r="E16" s="34" t="s">
        <v>420</v>
      </c>
      <c r="F16" s="34"/>
      <c r="G16" s="34"/>
      <c r="H16" s="20">
        <v>2</v>
      </c>
      <c r="I16" s="34" t="s">
        <v>417</v>
      </c>
      <c r="J16" s="34"/>
      <c r="K16" s="42"/>
    </row>
    <row r="17" spans="1:11" x14ac:dyDescent="0.25">
      <c r="A17" s="34">
        <v>15</v>
      </c>
      <c r="B17" s="34" t="s">
        <v>422</v>
      </c>
      <c r="C17" s="34"/>
      <c r="D17" s="30" t="s">
        <v>19</v>
      </c>
      <c r="E17" s="34" t="s">
        <v>423</v>
      </c>
      <c r="F17" s="34"/>
      <c r="G17" s="34"/>
      <c r="H17" s="20">
        <v>2</v>
      </c>
      <c r="I17" s="34" t="s">
        <v>417</v>
      </c>
      <c r="J17" s="34"/>
      <c r="K17" s="42"/>
    </row>
    <row r="18" spans="1:11" x14ac:dyDescent="0.25">
      <c r="A18" s="34">
        <v>16</v>
      </c>
      <c r="B18" s="34" t="s">
        <v>425</v>
      </c>
      <c r="C18" s="34"/>
      <c r="D18" s="30" t="s">
        <v>19</v>
      </c>
      <c r="E18" s="34" t="s">
        <v>424</v>
      </c>
      <c r="F18" s="34"/>
      <c r="G18" s="34"/>
      <c r="H18" s="20">
        <v>1</v>
      </c>
      <c r="I18" s="34" t="s">
        <v>417</v>
      </c>
      <c r="J18" s="34"/>
      <c r="K18" s="42"/>
    </row>
    <row r="19" spans="1:11" x14ac:dyDescent="0.25">
      <c r="A19" s="34">
        <v>17</v>
      </c>
      <c r="B19" s="34" t="s">
        <v>224</v>
      </c>
      <c r="C19" s="34" t="s">
        <v>426</v>
      </c>
      <c r="D19" s="34" t="s">
        <v>404</v>
      </c>
      <c r="E19" s="34" t="s">
        <v>404</v>
      </c>
      <c r="F19" s="34" t="s">
        <v>404</v>
      </c>
      <c r="G19" s="34" t="s">
        <v>404</v>
      </c>
      <c r="H19" s="20">
        <v>1</v>
      </c>
      <c r="I19" s="34" t="s">
        <v>414</v>
      </c>
      <c r="J19" s="34"/>
      <c r="K19" s="42"/>
    </row>
    <row r="20" spans="1:11" x14ac:dyDescent="0.25">
      <c r="A20" s="34">
        <v>18</v>
      </c>
      <c r="B20" s="34" t="s">
        <v>760</v>
      </c>
      <c r="C20" s="34" t="s">
        <v>80</v>
      </c>
      <c r="D20" s="30" t="s">
        <v>730</v>
      </c>
      <c r="E20" s="34" t="s">
        <v>761</v>
      </c>
      <c r="F20" s="34" t="s">
        <v>70</v>
      </c>
      <c r="G20" s="51">
        <v>47269</v>
      </c>
      <c r="H20" s="20">
        <v>2</v>
      </c>
      <c r="I20" s="34" t="s">
        <v>417</v>
      </c>
      <c r="J20" s="34"/>
    </row>
    <row r="21" spans="1:11" x14ac:dyDescent="0.25">
      <c r="A21" s="34">
        <v>19</v>
      </c>
      <c r="B21" s="34" t="s">
        <v>224</v>
      </c>
      <c r="C21" s="34" t="s">
        <v>426</v>
      </c>
      <c r="D21" s="34" t="s">
        <v>228</v>
      </c>
      <c r="E21" s="34" t="s">
        <v>404</v>
      </c>
      <c r="F21" s="34" t="s">
        <v>404</v>
      </c>
      <c r="G21" s="34" t="s">
        <v>404</v>
      </c>
      <c r="H21" s="20">
        <v>1</v>
      </c>
      <c r="I21" s="34" t="s">
        <v>414</v>
      </c>
      <c r="J21" s="34"/>
    </row>
    <row r="24" spans="1:11" x14ac:dyDescent="0.25">
      <c r="I24" s="28" t="s">
        <v>343</v>
      </c>
    </row>
    <row r="29" spans="1:11" x14ac:dyDescent="0.25">
      <c r="B29" s="2" t="s">
        <v>427</v>
      </c>
      <c r="C29" s="2" t="s">
        <v>139</v>
      </c>
      <c r="D29" s="8" t="s">
        <v>404</v>
      </c>
      <c r="E29" s="8" t="s">
        <v>404</v>
      </c>
      <c r="F29" s="8" t="s">
        <v>404</v>
      </c>
      <c r="G29" s="8" t="s">
        <v>404</v>
      </c>
      <c r="H29" s="2">
        <v>1</v>
      </c>
      <c r="I29" s="2"/>
      <c r="J29" s="2"/>
      <c r="K29" s="2"/>
    </row>
  </sheetData>
  <sortState xmlns:xlrd2="http://schemas.microsoft.com/office/spreadsheetml/2017/richdata2" ref="A4:I17">
    <sortCondition ref="B4"/>
  </sortState>
  <mergeCells count="1">
    <mergeCell ref="A2:J2"/>
  </mergeCells>
  <pageMargins left="0.7" right="0.7" top="0.75" bottom="0.75" header="0.3" footer="0.3"/>
  <pageSetup orientation="landscape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K24"/>
  <sheetViews>
    <sheetView topLeftCell="A3" workbookViewId="0">
      <selection activeCell="A2" sqref="A2:J2"/>
    </sheetView>
  </sheetViews>
  <sheetFormatPr baseColWidth="10" defaultRowHeight="15" x14ac:dyDescent="0.25"/>
  <cols>
    <col min="1" max="1" width="3.140625" customWidth="1"/>
    <col min="2" max="2" width="28" customWidth="1"/>
    <col min="3" max="3" width="10" customWidth="1"/>
    <col min="4" max="4" width="17.42578125" customWidth="1"/>
    <col min="5" max="5" width="16.28515625" customWidth="1"/>
  </cols>
  <sheetData>
    <row r="2" spans="1:10" x14ac:dyDescent="0.25">
      <c r="A2" s="80" t="s">
        <v>800</v>
      </c>
      <c r="B2" s="81"/>
      <c r="C2" s="81"/>
      <c r="D2" s="81"/>
      <c r="E2" s="81"/>
      <c r="F2" s="81"/>
      <c r="G2" s="81"/>
      <c r="H2" s="81"/>
      <c r="I2" s="81"/>
      <c r="J2" s="82"/>
    </row>
    <row r="3" spans="1:10" ht="24" x14ac:dyDescent="0.25">
      <c r="A3" s="9" t="s">
        <v>1</v>
      </c>
      <c r="B3" s="10" t="s">
        <v>68</v>
      </c>
      <c r="C3" s="10" t="s">
        <v>69</v>
      </c>
      <c r="D3" s="10" t="s">
        <v>0</v>
      </c>
      <c r="E3" s="10" t="s">
        <v>4</v>
      </c>
      <c r="F3" s="10" t="s">
        <v>67</v>
      </c>
      <c r="G3" s="10" t="s">
        <v>5</v>
      </c>
      <c r="H3" s="10" t="s">
        <v>31</v>
      </c>
      <c r="I3" s="10" t="s">
        <v>65</v>
      </c>
      <c r="J3" s="33" t="s">
        <v>334</v>
      </c>
    </row>
    <row r="4" spans="1:10" x14ac:dyDescent="0.25">
      <c r="A4" s="8">
        <v>1</v>
      </c>
      <c r="B4" s="59" t="s">
        <v>344</v>
      </c>
      <c r="C4" s="29" t="s">
        <v>139</v>
      </c>
      <c r="D4" s="7" t="s">
        <v>143</v>
      </c>
      <c r="E4" s="7" t="s">
        <v>48</v>
      </c>
      <c r="F4" s="7" t="s">
        <v>70</v>
      </c>
      <c r="G4" s="7" t="s">
        <v>70</v>
      </c>
      <c r="H4" s="7">
        <v>3</v>
      </c>
      <c r="I4" s="7" t="s">
        <v>27</v>
      </c>
      <c r="J4" s="34"/>
    </row>
    <row r="5" spans="1:10" x14ac:dyDescent="0.25">
      <c r="A5" s="8">
        <v>2</v>
      </c>
      <c r="B5" s="34" t="s">
        <v>239</v>
      </c>
      <c r="C5" s="34" t="s">
        <v>110</v>
      </c>
      <c r="D5" s="20" t="s">
        <v>6</v>
      </c>
      <c r="E5" s="20" t="s">
        <v>240</v>
      </c>
      <c r="F5" s="20" t="s">
        <v>70</v>
      </c>
      <c r="G5" s="20" t="s">
        <v>70</v>
      </c>
      <c r="H5" s="20">
        <v>1</v>
      </c>
      <c r="I5" s="20" t="s">
        <v>9</v>
      </c>
      <c r="J5" s="34"/>
    </row>
    <row r="6" spans="1:10" x14ac:dyDescent="0.25">
      <c r="A6" s="8">
        <v>4</v>
      </c>
      <c r="B6" s="34" t="s">
        <v>86</v>
      </c>
      <c r="C6" s="34" t="s">
        <v>110</v>
      </c>
      <c r="D6" s="20" t="s">
        <v>25</v>
      </c>
      <c r="E6" s="20">
        <v>526101</v>
      </c>
      <c r="F6" s="20" t="s">
        <v>70</v>
      </c>
      <c r="G6" s="20" t="s">
        <v>70</v>
      </c>
      <c r="H6" s="20">
        <v>1</v>
      </c>
      <c r="I6" s="20" t="s">
        <v>7</v>
      </c>
      <c r="J6" s="34"/>
    </row>
    <row r="7" spans="1:10" x14ac:dyDescent="0.25">
      <c r="A7" s="8">
        <v>5</v>
      </c>
      <c r="B7" s="34" t="s">
        <v>235</v>
      </c>
      <c r="C7" s="34" t="s">
        <v>139</v>
      </c>
      <c r="D7" s="20" t="s">
        <v>225</v>
      </c>
      <c r="E7" s="20">
        <v>125459</v>
      </c>
      <c r="F7" s="20" t="s">
        <v>70</v>
      </c>
      <c r="G7" s="20" t="s">
        <v>70</v>
      </c>
      <c r="H7" s="20">
        <v>2</v>
      </c>
      <c r="I7" s="20" t="s">
        <v>7</v>
      </c>
      <c r="J7" s="34"/>
    </row>
    <row r="8" spans="1:10" x14ac:dyDescent="0.25">
      <c r="A8" s="8">
        <v>6</v>
      </c>
      <c r="B8" s="34" t="s">
        <v>235</v>
      </c>
      <c r="C8" s="34" t="s">
        <v>139</v>
      </c>
      <c r="D8" s="20" t="s">
        <v>99</v>
      </c>
      <c r="E8" s="20" t="s">
        <v>241</v>
      </c>
      <c r="F8" s="20" t="s">
        <v>70</v>
      </c>
      <c r="G8" s="20" t="s">
        <v>70</v>
      </c>
      <c r="H8" s="20">
        <v>1</v>
      </c>
      <c r="I8" s="20" t="s">
        <v>17</v>
      </c>
      <c r="J8" s="34"/>
    </row>
    <row r="9" spans="1:10" x14ac:dyDescent="0.25">
      <c r="A9" s="8">
        <v>7</v>
      </c>
      <c r="B9" s="59" t="s">
        <v>237</v>
      </c>
      <c r="C9" s="59" t="s">
        <v>110</v>
      </c>
      <c r="D9" s="36" t="s">
        <v>8</v>
      </c>
      <c r="E9" s="36" t="s">
        <v>236</v>
      </c>
      <c r="F9" s="36" t="s">
        <v>70</v>
      </c>
      <c r="G9" s="37">
        <v>45839</v>
      </c>
      <c r="H9" s="36">
        <v>1</v>
      </c>
      <c r="I9" s="36" t="s">
        <v>17</v>
      </c>
      <c r="J9" s="34"/>
    </row>
    <row r="10" spans="1:10" x14ac:dyDescent="0.25">
      <c r="A10" s="8">
        <v>8</v>
      </c>
      <c r="B10" s="34" t="s">
        <v>238</v>
      </c>
      <c r="C10" s="34" t="s">
        <v>139</v>
      </c>
      <c r="D10" s="20" t="s">
        <v>143</v>
      </c>
      <c r="E10" s="20">
        <v>392866</v>
      </c>
      <c r="F10" s="20"/>
      <c r="G10" s="38"/>
      <c r="H10" s="20">
        <v>1</v>
      </c>
      <c r="I10" s="20" t="s">
        <v>394</v>
      </c>
      <c r="J10" s="34"/>
    </row>
    <row r="11" spans="1:10" x14ac:dyDescent="0.25">
      <c r="A11" s="8">
        <v>9</v>
      </c>
      <c r="B11" s="34" t="s">
        <v>237</v>
      </c>
      <c r="C11" s="34" t="s">
        <v>110</v>
      </c>
      <c r="D11" s="20" t="s">
        <v>19</v>
      </c>
      <c r="E11" s="20" t="s">
        <v>18</v>
      </c>
      <c r="F11" s="20" t="s">
        <v>70</v>
      </c>
      <c r="G11" s="38">
        <v>45869</v>
      </c>
      <c r="H11" s="20">
        <v>1</v>
      </c>
      <c r="I11" s="20" t="s">
        <v>12</v>
      </c>
      <c r="J11" s="34"/>
    </row>
    <row r="12" spans="1:10" x14ac:dyDescent="0.25">
      <c r="A12" s="8">
        <v>10</v>
      </c>
      <c r="B12" s="34" t="s">
        <v>234</v>
      </c>
      <c r="C12" s="34" t="s">
        <v>139</v>
      </c>
      <c r="D12" s="20" t="s">
        <v>143</v>
      </c>
      <c r="E12" s="20" t="s">
        <v>361</v>
      </c>
      <c r="F12" s="20" t="s">
        <v>70</v>
      </c>
      <c r="G12" s="20" t="s">
        <v>70</v>
      </c>
      <c r="H12" s="20">
        <v>1</v>
      </c>
      <c r="I12" s="20" t="s">
        <v>7</v>
      </c>
      <c r="J12" s="34"/>
    </row>
    <row r="13" spans="1:10" x14ac:dyDescent="0.25">
      <c r="A13" s="8">
        <v>11</v>
      </c>
      <c r="B13" s="34" t="s">
        <v>212</v>
      </c>
      <c r="C13" s="34" t="s">
        <v>110</v>
      </c>
      <c r="D13" s="20" t="s">
        <v>143</v>
      </c>
      <c r="E13" s="20" t="s">
        <v>378</v>
      </c>
      <c r="F13" s="20" t="s">
        <v>70</v>
      </c>
      <c r="G13" s="20" t="s">
        <v>70</v>
      </c>
      <c r="H13" s="20">
        <v>1</v>
      </c>
      <c r="I13" s="20" t="s">
        <v>47</v>
      </c>
      <c r="J13" s="34"/>
    </row>
    <row r="14" spans="1:10" x14ac:dyDescent="0.25">
      <c r="A14" s="8">
        <v>12</v>
      </c>
      <c r="B14" s="34" t="s">
        <v>377</v>
      </c>
      <c r="C14" s="34" t="s">
        <v>139</v>
      </c>
      <c r="D14" s="20" t="s">
        <v>143</v>
      </c>
      <c r="E14" s="20">
        <v>102648457</v>
      </c>
      <c r="F14" s="20" t="s">
        <v>70</v>
      </c>
      <c r="G14" s="20" t="s">
        <v>70</v>
      </c>
      <c r="H14" s="20">
        <v>1</v>
      </c>
      <c r="I14" s="20" t="s">
        <v>47</v>
      </c>
      <c r="J14" s="34"/>
    </row>
    <row r="15" spans="1:10" x14ac:dyDescent="0.25">
      <c r="A15" s="8">
        <v>13</v>
      </c>
      <c r="B15" s="34" t="s">
        <v>212</v>
      </c>
      <c r="C15" s="34" t="s">
        <v>110</v>
      </c>
      <c r="D15" s="20" t="s">
        <v>6</v>
      </c>
      <c r="E15" s="20" t="s">
        <v>213</v>
      </c>
      <c r="F15" s="20" t="s">
        <v>70</v>
      </c>
      <c r="G15" s="20" t="s">
        <v>70</v>
      </c>
      <c r="H15" s="20">
        <v>1</v>
      </c>
      <c r="I15" s="20" t="s">
        <v>47</v>
      </c>
      <c r="J15" s="34"/>
    </row>
    <row r="16" spans="1:10" x14ac:dyDescent="0.25">
      <c r="A16" s="8">
        <v>14</v>
      </c>
      <c r="B16" s="34" t="s">
        <v>212</v>
      </c>
      <c r="C16" s="34" t="s">
        <v>110</v>
      </c>
      <c r="D16" s="20" t="s">
        <v>6</v>
      </c>
      <c r="E16" s="20" t="s">
        <v>214</v>
      </c>
      <c r="F16" s="20" t="s">
        <v>70</v>
      </c>
      <c r="G16" s="20" t="s">
        <v>70</v>
      </c>
      <c r="H16" s="20">
        <v>1</v>
      </c>
      <c r="I16" s="20" t="s">
        <v>47</v>
      </c>
      <c r="J16" s="34"/>
    </row>
    <row r="17" spans="1:11" x14ac:dyDescent="0.25">
      <c r="A17" s="8">
        <v>15</v>
      </c>
      <c r="B17" s="34" t="s">
        <v>229</v>
      </c>
      <c r="C17" s="34" t="s">
        <v>110</v>
      </c>
      <c r="D17" s="20" t="s">
        <v>76</v>
      </c>
      <c r="E17" s="20" t="s">
        <v>230</v>
      </c>
      <c r="F17" s="20" t="s">
        <v>70</v>
      </c>
      <c r="G17" s="20" t="s">
        <v>70</v>
      </c>
      <c r="H17" s="20">
        <v>1</v>
      </c>
      <c r="I17" s="20" t="s">
        <v>72</v>
      </c>
      <c r="J17" s="35" t="s">
        <v>335</v>
      </c>
    </row>
    <row r="18" spans="1:11" x14ac:dyDescent="0.25">
      <c r="A18" s="8">
        <v>16</v>
      </c>
      <c r="B18" s="34" t="s">
        <v>229</v>
      </c>
      <c r="C18" s="34" t="s">
        <v>110</v>
      </c>
      <c r="D18" s="20" t="s">
        <v>76</v>
      </c>
      <c r="E18" s="20" t="s">
        <v>230</v>
      </c>
      <c r="F18" s="20" t="s">
        <v>70</v>
      </c>
      <c r="G18" s="20" t="s">
        <v>70</v>
      </c>
      <c r="H18" s="20">
        <v>1</v>
      </c>
      <c r="I18" s="20" t="s">
        <v>72</v>
      </c>
      <c r="J18" s="35" t="s">
        <v>335</v>
      </c>
    </row>
    <row r="19" spans="1:11" x14ac:dyDescent="0.25">
      <c r="A19" s="8">
        <v>17</v>
      </c>
      <c r="B19" s="34" t="s">
        <v>229</v>
      </c>
      <c r="C19" s="34" t="s">
        <v>139</v>
      </c>
      <c r="D19" s="20" t="s">
        <v>19</v>
      </c>
      <c r="E19" s="20" t="s">
        <v>428</v>
      </c>
      <c r="F19" s="20"/>
      <c r="G19" s="20"/>
      <c r="H19" s="20">
        <v>1</v>
      </c>
      <c r="I19" s="20" t="s">
        <v>415</v>
      </c>
      <c r="J19" s="35" t="s">
        <v>335</v>
      </c>
    </row>
    <row r="20" spans="1:11" x14ac:dyDescent="0.25">
      <c r="A20" s="8">
        <v>18</v>
      </c>
      <c r="B20" s="34" t="s">
        <v>333</v>
      </c>
      <c r="C20" s="34" t="s">
        <v>139</v>
      </c>
      <c r="D20" s="20" t="s">
        <v>143</v>
      </c>
      <c r="E20" s="20">
        <v>1003478265</v>
      </c>
      <c r="F20" s="20" t="s">
        <v>70</v>
      </c>
      <c r="G20" s="20" t="s">
        <v>70</v>
      </c>
      <c r="H20" s="20">
        <v>1</v>
      </c>
      <c r="I20" s="20" t="s">
        <v>9</v>
      </c>
      <c r="J20" s="34"/>
      <c r="K20" s="42"/>
    </row>
    <row r="21" spans="1:11" x14ac:dyDescent="0.25">
      <c r="A21" s="8">
        <v>19</v>
      </c>
      <c r="B21" s="34" t="s">
        <v>333</v>
      </c>
      <c r="C21" s="34" t="s">
        <v>139</v>
      </c>
      <c r="D21" s="20" t="s">
        <v>143</v>
      </c>
      <c r="E21" s="20">
        <v>1003721153</v>
      </c>
      <c r="F21" s="20" t="s">
        <v>70</v>
      </c>
      <c r="G21" s="20" t="s">
        <v>70</v>
      </c>
      <c r="H21" s="20">
        <v>1</v>
      </c>
      <c r="I21" s="20" t="s">
        <v>7</v>
      </c>
      <c r="J21" s="34"/>
    </row>
    <row r="22" spans="1:11" x14ac:dyDescent="0.25">
      <c r="A22" s="8">
        <v>20</v>
      </c>
      <c r="B22" s="34" t="s">
        <v>762</v>
      </c>
      <c r="C22" s="34" t="s">
        <v>139</v>
      </c>
      <c r="D22" s="20" t="s">
        <v>19</v>
      </c>
      <c r="E22" s="20" t="s">
        <v>763</v>
      </c>
      <c r="F22" s="8"/>
      <c r="G22" s="8"/>
      <c r="H22" s="20">
        <v>2</v>
      </c>
      <c r="I22" s="20" t="s">
        <v>351</v>
      </c>
      <c r="J22" s="34"/>
    </row>
    <row r="23" spans="1:11" x14ac:dyDescent="0.25">
      <c r="A23" s="29">
        <v>22</v>
      </c>
      <c r="B23" s="34" t="s">
        <v>766</v>
      </c>
      <c r="C23" s="34" t="s">
        <v>110</v>
      </c>
      <c r="D23" s="20" t="s">
        <v>143</v>
      </c>
      <c r="E23" s="8">
        <v>102786847</v>
      </c>
      <c r="F23" s="20" t="s">
        <v>70</v>
      </c>
      <c r="G23" s="20" t="s">
        <v>70</v>
      </c>
      <c r="H23" s="20">
        <v>1</v>
      </c>
      <c r="I23" s="8"/>
      <c r="J23" s="34"/>
    </row>
    <row r="24" spans="1:11" x14ac:dyDescent="0.25">
      <c r="A24" s="28"/>
      <c r="B24" s="34" t="s">
        <v>788</v>
      </c>
      <c r="C24" s="34" t="s">
        <v>110</v>
      </c>
      <c r="D24" s="20" t="s">
        <v>96</v>
      </c>
      <c r="E24" s="8" t="s">
        <v>789</v>
      </c>
      <c r="F24" s="20" t="s">
        <v>70</v>
      </c>
      <c r="G24" s="20" t="s">
        <v>70</v>
      </c>
      <c r="H24" s="20">
        <v>1</v>
      </c>
      <c r="I24" s="20" t="s">
        <v>372</v>
      </c>
      <c r="J24" s="34"/>
    </row>
  </sheetData>
  <sortState xmlns:xlrd2="http://schemas.microsoft.com/office/spreadsheetml/2017/richdata2" ref="A4:I29">
    <sortCondition ref="B4"/>
  </sortState>
  <mergeCells count="1">
    <mergeCell ref="A2:J2"/>
  </mergeCells>
  <pageMargins left="0.7" right="0.7" top="0.75" bottom="0.75" header="0.3" footer="0.3"/>
  <pageSetup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P93"/>
  <sheetViews>
    <sheetView topLeftCell="A15" workbookViewId="0">
      <selection activeCell="N9" sqref="N9"/>
    </sheetView>
  </sheetViews>
  <sheetFormatPr baseColWidth="10" defaultRowHeight="15" x14ac:dyDescent="0.25"/>
  <cols>
    <col min="1" max="1" width="0.7109375" customWidth="1"/>
    <col min="2" max="2" width="3.140625" customWidth="1"/>
    <col min="3" max="3" width="28" customWidth="1"/>
    <col min="4" max="4" width="9.7109375" customWidth="1"/>
    <col min="5" max="5" width="18" customWidth="1"/>
    <col min="6" max="6" width="15.140625" customWidth="1"/>
    <col min="9" max="9" width="6" customWidth="1"/>
    <col min="11" max="11" width="15" customWidth="1"/>
  </cols>
  <sheetData>
    <row r="2" spans="2:16" x14ac:dyDescent="0.25">
      <c r="B2" s="80" t="s">
        <v>799</v>
      </c>
      <c r="C2" s="81"/>
      <c r="D2" s="81"/>
      <c r="E2" s="81"/>
      <c r="F2" s="81"/>
      <c r="G2" s="81"/>
      <c r="H2" s="81"/>
      <c r="I2" s="81"/>
      <c r="J2" s="81"/>
      <c r="K2" s="82"/>
    </row>
    <row r="3" spans="2:16" ht="30" customHeight="1" x14ac:dyDescent="0.25">
      <c r="B3" s="9" t="s">
        <v>1</v>
      </c>
      <c r="C3" s="10" t="s">
        <v>68</v>
      </c>
      <c r="D3" s="10" t="s">
        <v>69</v>
      </c>
      <c r="E3" s="10" t="s">
        <v>0</v>
      </c>
      <c r="F3" s="10" t="s">
        <v>4</v>
      </c>
      <c r="G3" s="10" t="s">
        <v>67</v>
      </c>
      <c r="H3" s="10" t="s">
        <v>5</v>
      </c>
      <c r="I3" s="10" t="s">
        <v>31</v>
      </c>
      <c r="J3" s="10" t="s">
        <v>65</v>
      </c>
      <c r="K3" s="11" t="s">
        <v>334</v>
      </c>
      <c r="L3" s="1"/>
    </row>
    <row r="4" spans="2:16" ht="15" customHeight="1" x14ac:dyDescent="0.25">
      <c r="B4" s="8">
        <v>1</v>
      </c>
      <c r="C4" s="8" t="s">
        <v>346</v>
      </c>
      <c r="D4" s="8" t="s">
        <v>139</v>
      </c>
      <c r="E4" s="6" t="s">
        <v>11</v>
      </c>
      <c r="F4" s="6" t="s">
        <v>207</v>
      </c>
      <c r="G4" s="6" t="s">
        <v>70</v>
      </c>
      <c r="H4" s="6" t="s">
        <v>70</v>
      </c>
      <c r="I4" s="6">
        <v>1</v>
      </c>
      <c r="J4" s="6" t="s">
        <v>55</v>
      </c>
      <c r="K4" s="20"/>
      <c r="L4" s="56"/>
    </row>
    <row r="5" spans="2:16" ht="15" customHeight="1" x14ac:dyDescent="0.25">
      <c r="B5" s="8">
        <v>2</v>
      </c>
      <c r="C5" s="8" t="s">
        <v>765</v>
      </c>
      <c r="D5" s="8" t="s">
        <v>110</v>
      </c>
      <c r="E5" s="6" t="s">
        <v>11</v>
      </c>
      <c r="F5" s="6" t="s">
        <v>199</v>
      </c>
      <c r="G5" s="6" t="s">
        <v>70</v>
      </c>
      <c r="H5" s="6" t="s">
        <v>70</v>
      </c>
      <c r="I5" s="6">
        <v>1</v>
      </c>
      <c r="J5" s="6" t="s">
        <v>49</v>
      </c>
      <c r="K5" s="20"/>
      <c r="L5" s="56" t="s">
        <v>343</v>
      </c>
    </row>
    <row r="6" spans="2:16" ht="15" customHeight="1" x14ac:dyDescent="0.25">
      <c r="B6" s="8">
        <v>3</v>
      </c>
      <c r="C6" s="8" t="s">
        <v>168</v>
      </c>
      <c r="D6" s="8" t="s">
        <v>371</v>
      </c>
      <c r="E6" s="6" t="s">
        <v>387</v>
      </c>
      <c r="F6" s="6">
        <v>102843821</v>
      </c>
      <c r="G6" s="6" t="s">
        <v>70</v>
      </c>
      <c r="H6" s="6" t="s">
        <v>70</v>
      </c>
      <c r="I6" s="6">
        <v>1</v>
      </c>
      <c r="J6" s="6" t="s">
        <v>393</v>
      </c>
      <c r="K6" s="20"/>
      <c r="L6" s="56"/>
    </row>
    <row r="7" spans="2:16" ht="15" customHeight="1" x14ac:dyDescent="0.25">
      <c r="B7" s="8">
        <v>4</v>
      </c>
      <c r="C7" s="8" t="s">
        <v>168</v>
      </c>
      <c r="D7" s="8" t="s">
        <v>139</v>
      </c>
      <c r="E7" s="6" t="s">
        <v>166</v>
      </c>
      <c r="F7" s="6" t="s">
        <v>52</v>
      </c>
      <c r="G7" s="6" t="s">
        <v>70</v>
      </c>
      <c r="H7" s="6" t="s">
        <v>70</v>
      </c>
      <c r="I7" s="6">
        <v>1</v>
      </c>
      <c r="J7" s="6" t="s">
        <v>9</v>
      </c>
      <c r="K7" s="20"/>
      <c r="L7" s="56"/>
    </row>
    <row r="8" spans="2:16" ht="15" customHeight="1" x14ac:dyDescent="0.25">
      <c r="B8" s="8">
        <v>5</v>
      </c>
      <c r="C8" s="8" t="s">
        <v>193</v>
      </c>
      <c r="D8" s="8" t="s">
        <v>139</v>
      </c>
      <c r="E8" s="6" t="s">
        <v>11</v>
      </c>
      <c r="F8" s="6" t="s">
        <v>383</v>
      </c>
      <c r="G8" s="6" t="s">
        <v>70</v>
      </c>
      <c r="H8" s="6" t="s">
        <v>70</v>
      </c>
      <c r="I8" s="6">
        <v>1</v>
      </c>
      <c r="J8" s="6" t="s">
        <v>55</v>
      </c>
      <c r="K8" s="20"/>
      <c r="L8" s="56"/>
    </row>
    <row r="9" spans="2:16" ht="15" customHeight="1" x14ac:dyDescent="0.25">
      <c r="B9" s="8">
        <v>6</v>
      </c>
      <c r="C9" s="8" t="s">
        <v>206</v>
      </c>
      <c r="D9" s="8" t="s">
        <v>139</v>
      </c>
      <c r="E9" s="6" t="s">
        <v>13</v>
      </c>
      <c r="F9" s="6">
        <v>17634701</v>
      </c>
      <c r="G9" s="6" t="s">
        <v>70</v>
      </c>
      <c r="H9" s="4">
        <v>46388</v>
      </c>
      <c r="I9" s="6">
        <v>1</v>
      </c>
      <c r="J9" s="6" t="s">
        <v>47</v>
      </c>
      <c r="K9" s="20"/>
      <c r="L9" s="42"/>
    </row>
    <row r="10" spans="2:16" ht="15" customHeight="1" x14ac:dyDescent="0.25">
      <c r="B10" s="8">
        <v>7</v>
      </c>
      <c r="C10" s="8" t="s">
        <v>147</v>
      </c>
      <c r="D10" s="8" t="s">
        <v>139</v>
      </c>
      <c r="E10" s="6" t="s">
        <v>143</v>
      </c>
      <c r="F10" s="6" t="s">
        <v>347</v>
      </c>
      <c r="G10" s="6" t="s">
        <v>70</v>
      </c>
      <c r="H10" s="6" t="s">
        <v>70</v>
      </c>
      <c r="I10" s="6">
        <v>1</v>
      </c>
      <c r="J10" s="6" t="s">
        <v>7</v>
      </c>
      <c r="K10" s="20"/>
      <c r="L10" s="42"/>
    </row>
    <row r="11" spans="2:16" ht="15" customHeight="1" x14ac:dyDescent="0.25">
      <c r="B11" s="8">
        <v>8</v>
      </c>
      <c r="C11" s="8" t="s">
        <v>147</v>
      </c>
      <c r="D11" s="8" t="s">
        <v>110</v>
      </c>
      <c r="E11" s="6" t="s">
        <v>8</v>
      </c>
      <c r="F11" s="6" t="s">
        <v>148</v>
      </c>
      <c r="G11" s="6" t="s">
        <v>70</v>
      </c>
      <c r="H11" s="4">
        <v>46266</v>
      </c>
      <c r="I11" s="6">
        <v>2</v>
      </c>
      <c r="J11" s="6" t="s">
        <v>7</v>
      </c>
      <c r="K11" s="20"/>
      <c r="L11" s="42"/>
    </row>
    <row r="12" spans="2:16" ht="15" customHeight="1" x14ac:dyDescent="0.25">
      <c r="B12" s="8">
        <v>9</v>
      </c>
      <c r="C12" s="8" t="s">
        <v>208</v>
      </c>
      <c r="D12" s="8" t="s">
        <v>209</v>
      </c>
      <c r="E12" s="6" t="s">
        <v>124</v>
      </c>
      <c r="F12" s="6" t="s">
        <v>379</v>
      </c>
      <c r="G12" s="6" t="s">
        <v>124</v>
      </c>
      <c r="H12" s="6" t="s">
        <v>124</v>
      </c>
      <c r="I12" s="6">
        <v>1</v>
      </c>
      <c r="J12" s="6" t="s">
        <v>130</v>
      </c>
      <c r="K12" s="20"/>
      <c r="L12" s="42"/>
    </row>
    <row r="13" spans="2:16" ht="15" customHeight="1" x14ac:dyDescent="0.25">
      <c r="B13" s="8">
        <v>10</v>
      </c>
      <c r="C13" s="34" t="s">
        <v>152</v>
      </c>
      <c r="D13" s="34" t="s">
        <v>139</v>
      </c>
      <c r="E13" s="20" t="s">
        <v>11</v>
      </c>
      <c r="F13" s="20" t="s">
        <v>58</v>
      </c>
      <c r="G13" s="20" t="s">
        <v>70</v>
      </c>
      <c r="H13" s="20" t="s">
        <v>70</v>
      </c>
      <c r="I13" s="20">
        <v>1</v>
      </c>
      <c r="J13" s="20" t="s">
        <v>12</v>
      </c>
      <c r="K13" s="20" t="s">
        <v>262</v>
      </c>
      <c r="L13" s="42"/>
      <c r="P13" t="s">
        <v>343</v>
      </c>
    </row>
    <row r="14" spans="2:16" ht="15" customHeight="1" x14ac:dyDescent="0.25">
      <c r="B14" s="8">
        <v>11</v>
      </c>
      <c r="C14" s="8" t="s">
        <v>145</v>
      </c>
      <c r="D14" s="8" t="s">
        <v>146</v>
      </c>
      <c r="E14" s="6" t="s">
        <v>143</v>
      </c>
      <c r="F14" s="6" t="s">
        <v>51</v>
      </c>
      <c r="G14" s="6" t="s">
        <v>70</v>
      </c>
      <c r="H14" s="6" t="s">
        <v>70</v>
      </c>
      <c r="I14" s="6">
        <v>1</v>
      </c>
      <c r="J14" s="6" t="s">
        <v>47</v>
      </c>
      <c r="K14" s="20"/>
      <c r="L14" s="42"/>
    </row>
    <row r="15" spans="2:16" ht="15" customHeight="1" x14ac:dyDescent="0.25">
      <c r="B15" s="8">
        <v>12</v>
      </c>
      <c r="C15" s="8" t="s">
        <v>145</v>
      </c>
      <c r="D15" s="8" t="s">
        <v>139</v>
      </c>
      <c r="E15" s="6" t="s">
        <v>143</v>
      </c>
      <c r="F15" s="6" t="s">
        <v>51</v>
      </c>
      <c r="G15" s="6" t="s">
        <v>70</v>
      </c>
      <c r="H15" s="6" t="s">
        <v>70</v>
      </c>
      <c r="I15" s="6">
        <v>1</v>
      </c>
      <c r="J15" s="6" t="s">
        <v>47</v>
      </c>
      <c r="K15" s="20"/>
      <c r="L15" s="42"/>
    </row>
    <row r="16" spans="2:16" ht="15" customHeight="1" x14ac:dyDescent="0.25">
      <c r="B16" s="8">
        <v>13</v>
      </c>
      <c r="C16" s="8" t="s">
        <v>159</v>
      </c>
      <c r="D16" s="8" t="s">
        <v>139</v>
      </c>
      <c r="E16" s="6" t="s">
        <v>143</v>
      </c>
      <c r="F16" s="6" t="s">
        <v>160</v>
      </c>
      <c r="G16" s="6" t="s">
        <v>70</v>
      </c>
      <c r="H16" s="6" t="s">
        <v>70</v>
      </c>
      <c r="I16" s="6">
        <v>1</v>
      </c>
      <c r="J16" s="6" t="s">
        <v>17</v>
      </c>
      <c r="K16" s="20"/>
      <c r="L16" s="42"/>
    </row>
    <row r="17" spans="2:12" ht="15" customHeight="1" x14ac:dyDescent="0.25">
      <c r="B17" s="8">
        <v>14</v>
      </c>
      <c r="C17" s="8" t="s">
        <v>186</v>
      </c>
      <c r="D17" s="8" t="s">
        <v>139</v>
      </c>
      <c r="E17" s="6" t="s">
        <v>99</v>
      </c>
      <c r="F17" s="6" t="s">
        <v>42</v>
      </c>
      <c r="G17" s="6" t="s">
        <v>70</v>
      </c>
      <c r="H17" s="6" t="s">
        <v>70</v>
      </c>
      <c r="I17" s="6">
        <v>1</v>
      </c>
      <c r="J17" s="6" t="s">
        <v>7</v>
      </c>
      <c r="K17" s="20"/>
      <c r="L17" s="42"/>
    </row>
    <row r="18" spans="2:12" ht="15" customHeight="1" x14ac:dyDescent="0.25">
      <c r="B18" s="8">
        <v>15</v>
      </c>
      <c r="C18" s="8" t="s">
        <v>348</v>
      </c>
      <c r="D18" s="8" t="s">
        <v>110</v>
      </c>
      <c r="E18" s="6" t="s">
        <v>231</v>
      </c>
      <c r="F18" s="6" t="s">
        <v>232</v>
      </c>
      <c r="G18" s="6" t="s">
        <v>70</v>
      </c>
      <c r="H18" s="6" t="s">
        <v>70</v>
      </c>
      <c r="I18" s="6">
        <v>1</v>
      </c>
      <c r="J18" s="6" t="s">
        <v>17</v>
      </c>
      <c r="K18" s="41" t="s">
        <v>335</v>
      </c>
      <c r="L18" s="42"/>
    </row>
    <row r="19" spans="2:12" ht="15" customHeight="1" x14ac:dyDescent="0.25">
      <c r="B19" s="8">
        <v>16</v>
      </c>
      <c r="C19" s="8" t="s">
        <v>349</v>
      </c>
      <c r="D19" s="8" t="s">
        <v>110</v>
      </c>
      <c r="E19" s="6" t="s">
        <v>143</v>
      </c>
      <c r="F19" s="6" t="s">
        <v>46</v>
      </c>
      <c r="G19" s="6" t="s">
        <v>70</v>
      </c>
      <c r="H19" s="6" t="s">
        <v>70</v>
      </c>
      <c r="I19" s="6">
        <v>2</v>
      </c>
      <c r="J19" s="6" t="s">
        <v>7</v>
      </c>
      <c r="K19" s="41" t="s">
        <v>335</v>
      </c>
      <c r="L19" s="42"/>
    </row>
    <row r="20" spans="2:12" ht="15" customHeight="1" x14ac:dyDescent="0.25">
      <c r="B20" s="34">
        <v>17</v>
      </c>
      <c r="C20" s="57" t="s">
        <v>149</v>
      </c>
      <c r="D20" s="57" t="s">
        <v>174</v>
      </c>
      <c r="E20" s="40">
        <v>15</v>
      </c>
      <c r="F20" s="40" t="s">
        <v>123</v>
      </c>
      <c r="G20" s="40" t="s">
        <v>70</v>
      </c>
      <c r="H20" s="40" t="s">
        <v>70</v>
      </c>
      <c r="I20" s="40">
        <v>1</v>
      </c>
      <c r="J20" s="40" t="s">
        <v>175</v>
      </c>
      <c r="K20" s="40" t="s">
        <v>335</v>
      </c>
      <c r="L20" s="42"/>
    </row>
    <row r="21" spans="2:12" ht="15" customHeight="1" x14ac:dyDescent="0.25">
      <c r="B21" s="34">
        <v>18</v>
      </c>
      <c r="C21" s="34" t="s">
        <v>191</v>
      </c>
      <c r="D21" s="34" t="s">
        <v>139</v>
      </c>
      <c r="E21" s="20" t="s">
        <v>143</v>
      </c>
      <c r="F21" s="20" t="s">
        <v>190</v>
      </c>
      <c r="G21" s="20" t="s">
        <v>70</v>
      </c>
      <c r="H21" s="20" t="s">
        <v>70</v>
      </c>
      <c r="I21" s="20">
        <v>1</v>
      </c>
      <c r="J21" s="20" t="s">
        <v>27</v>
      </c>
      <c r="K21" s="20"/>
      <c r="L21" s="42"/>
    </row>
    <row r="22" spans="2:12" ht="15" customHeight="1" x14ac:dyDescent="0.25">
      <c r="B22" s="34">
        <v>19</v>
      </c>
      <c r="C22" s="34" t="s">
        <v>352</v>
      </c>
      <c r="D22" s="34" t="s">
        <v>110</v>
      </c>
      <c r="E22" s="20" t="s">
        <v>143</v>
      </c>
      <c r="F22" s="20" t="s">
        <v>26</v>
      </c>
      <c r="G22" s="20" t="s">
        <v>70</v>
      </c>
      <c r="H22" s="20" t="s">
        <v>70</v>
      </c>
      <c r="I22" s="20">
        <v>1</v>
      </c>
      <c r="J22" s="20" t="s">
        <v>7</v>
      </c>
      <c r="K22" s="41" t="s">
        <v>335</v>
      </c>
      <c r="L22" s="42"/>
    </row>
    <row r="23" spans="2:12" ht="15" customHeight="1" x14ac:dyDescent="0.25">
      <c r="B23" s="34">
        <v>20</v>
      </c>
      <c r="C23" s="58" t="s">
        <v>215</v>
      </c>
      <c r="D23" s="58" t="s">
        <v>139</v>
      </c>
      <c r="E23" s="21" t="s">
        <v>11</v>
      </c>
      <c r="F23" s="21" t="s">
        <v>56</v>
      </c>
      <c r="G23" s="21" t="s">
        <v>70</v>
      </c>
      <c r="H23" s="21" t="s">
        <v>70</v>
      </c>
      <c r="I23" s="21">
        <v>1</v>
      </c>
      <c r="J23" s="21" t="s">
        <v>17</v>
      </c>
      <c r="K23" s="40" t="s">
        <v>262</v>
      </c>
      <c r="L23" s="42"/>
    </row>
    <row r="24" spans="2:12" ht="15" customHeight="1" x14ac:dyDescent="0.25">
      <c r="B24" s="8">
        <v>21</v>
      </c>
      <c r="C24" s="34" t="s">
        <v>153</v>
      </c>
      <c r="D24" s="34" t="s">
        <v>110</v>
      </c>
      <c r="E24" s="20" t="s">
        <v>76</v>
      </c>
      <c r="F24" s="20" t="s">
        <v>154</v>
      </c>
      <c r="G24" s="20" t="s">
        <v>70</v>
      </c>
      <c r="H24" s="39">
        <v>44197</v>
      </c>
      <c r="I24" s="20">
        <v>2</v>
      </c>
      <c r="J24" s="20" t="s">
        <v>17</v>
      </c>
      <c r="K24" s="20"/>
      <c r="L24" s="42"/>
    </row>
    <row r="25" spans="2:12" ht="15" customHeight="1" x14ac:dyDescent="0.25">
      <c r="B25" s="8">
        <v>22</v>
      </c>
      <c r="C25" s="34" t="s">
        <v>153</v>
      </c>
      <c r="D25" s="34" t="s">
        <v>139</v>
      </c>
      <c r="E25" s="20" t="s">
        <v>76</v>
      </c>
      <c r="F25" s="20" t="s">
        <v>155</v>
      </c>
      <c r="G25" s="20" t="s">
        <v>70</v>
      </c>
      <c r="H25" s="39">
        <v>44197</v>
      </c>
      <c r="I25" s="20">
        <v>1</v>
      </c>
      <c r="J25" s="20" t="s">
        <v>17</v>
      </c>
      <c r="K25" s="20"/>
      <c r="L25" s="42"/>
    </row>
    <row r="26" spans="2:12" ht="15" customHeight="1" x14ac:dyDescent="0.25">
      <c r="B26" s="8">
        <v>23</v>
      </c>
      <c r="C26" s="34" t="s">
        <v>153</v>
      </c>
      <c r="D26" s="34" t="s">
        <v>110</v>
      </c>
      <c r="E26" s="20" t="s">
        <v>143</v>
      </c>
      <c r="F26" s="20" t="s">
        <v>178</v>
      </c>
      <c r="G26" s="20" t="s">
        <v>70</v>
      </c>
      <c r="H26" s="20" t="s">
        <v>70</v>
      </c>
      <c r="I26" s="20">
        <v>1</v>
      </c>
      <c r="J26" s="20" t="s">
        <v>17</v>
      </c>
      <c r="K26" s="20"/>
      <c r="L26" s="42"/>
    </row>
    <row r="27" spans="2:12" ht="15" customHeight="1" x14ac:dyDescent="0.25">
      <c r="B27" s="8">
        <v>24</v>
      </c>
      <c r="C27" s="34" t="s">
        <v>176</v>
      </c>
      <c r="D27" s="34" t="s">
        <v>110</v>
      </c>
      <c r="E27" s="20" t="s">
        <v>96</v>
      </c>
      <c r="F27" s="20" t="s">
        <v>350</v>
      </c>
      <c r="G27" s="20" t="s">
        <v>70</v>
      </c>
      <c r="H27" s="20" t="s">
        <v>70</v>
      </c>
      <c r="I27" s="20">
        <v>1</v>
      </c>
      <c r="J27" s="20" t="s">
        <v>351</v>
      </c>
      <c r="K27" s="20"/>
      <c r="L27" s="42"/>
    </row>
    <row r="28" spans="2:12" ht="15" customHeight="1" x14ac:dyDescent="0.25">
      <c r="B28" s="8">
        <v>26</v>
      </c>
      <c r="C28" s="8" t="s">
        <v>176</v>
      </c>
      <c r="D28" s="8" t="s">
        <v>110</v>
      </c>
      <c r="E28" s="6" t="s">
        <v>96</v>
      </c>
      <c r="F28" s="6" t="s">
        <v>22</v>
      </c>
      <c r="G28" s="6" t="s">
        <v>70</v>
      </c>
      <c r="H28" s="6" t="s">
        <v>70</v>
      </c>
      <c r="I28" s="6">
        <v>4</v>
      </c>
      <c r="J28" s="6" t="s">
        <v>17</v>
      </c>
      <c r="K28" s="20"/>
      <c r="L28" s="42"/>
    </row>
    <row r="29" spans="2:12" ht="15" customHeight="1" x14ac:dyDescent="0.25">
      <c r="B29" s="8">
        <v>27</v>
      </c>
      <c r="C29" s="8" t="s">
        <v>176</v>
      </c>
      <c r="D29" s="8" t="s">
        <v>139</v>
      </c>
      <c r="E29" s="6" t="s">
        <v>76</v>
      </c>
      <c r="F29" s="6" t="s">
        <v>177</v>
      </c>
      <c r="G29" s="6" t="s">
        <v>70</v>
      </c>
      <c r="H29" s="4" t="s">
        <v>70</v>
      </c>
      <c r="I29" s="6">
        <v>4</v>
      </c>
      <c r="J29" s="6" t="s">
        <v>17</v>
      </c>
      <c r="K29" s="20"/>
      <c r="L29" s="42"/>
    </row>
    <row r="30" spans="2:12" ht="15" customHeight="1" x14ac:dyDescent="0.25">
      <c r="B30" s="8">
        <v>28</v>
      </c>
      <c r="C30" s="8" t="s">
        <v>382</v>
      </c>
      <c r="D30" s="8" t="s">
        <v>139</v>
      </c>
      <c r="E30" s="6" t="s">
        <v>11</v>
      </c>
      <c r="F30" s="6" t="s">
        <v>201</v>
      </c>
      <c r="G30" s="6" t="s">
        <v>70</v>
      </c>
      <c r="H30" s="6" t="s">
        <v>70</v>
      </c>
      <c r="I30" s="6">
        <v>1</v>
      </c>
      <c r="J30" s="6" t="s">
        <v>9</v>
      </c>
      <c r="K30" s="20"/>
      <c r="L30" s="42"/>
    </row>
    <row r="31" spans="2:12" ht="15" customHeight="1" x14ac:dyDescent="0.25">
      <c r="B31" s="8">
        <v>29</v>
      </c>
      <c r="C31" s="8" t="s">
        <v>202</v>
      </c>
      <c r="D31" s="8" t="s">
        <v>110</v>
      </c>
      <c r="E31" s="6" t="s">
        <v>11</v>
      </c>
      <c r="F31" s="6" t="s">
        <v>203</v>
      </c>
      <c r="G31" s="6" t="s">
        <v>70</v>
      </c>
      <c r="H31" s="6" t="s">
        <v>70</v>
      </c>
      <c r="I31" s="6">
        <v>1</v>
      </c>
      <c r="J31" s="6" t="s">
        <v>9</v>
      </c>
      <c r="K31" s="20"/>
      <c r="L31" s="42"/>
    </row>
    <row r="32" spans="2:12" x14ac:dyDescent="0.25">
      <c r="B32" s="8">
        <v>30</v>
      </c>
      <c r="C32" s="8" t="s">
        <v>202</v>
      </c>
      <c r="D32" s="8" t="s">
        <v>205</v>
      </c>
      <c r="E32" s="6" t="s">
        <v>123</v>
      </c>
      <c r="F32" s="6">
        <v>26</v>
      </c>
      <c r="G32" s="6" t="s">
        <v>124</v>
      </c>
      <c r="H32" s="6" t="s">
        <v>124</v>
      </c>
      <c r="I32" s="6">
        <v>1</v>
      </c>
      <c r="J32" s="6" t="s">
        <v>49</v>
      </c>
      <c r="K32" s="20"/>
      <c r="L32" s="42"/>
    </row>
    <row r="33" spans="2:12" x14ac:dyDescent="0.25">
      <c r="B33" s="8"/>
      <c r="C33" s="8" t="s">
        <v>195</v>
      </c>
      <c r="D33" s="8" t="s">
        <v>139</v>
      </c>
      <c r="E33" s="6" t="s">
        <v>11</v>
      </c>
      <c r="F33" s="6" t="s">
        <v>196</v>
      </c>
      <c r="G33" s="6" t="s">
        <v>70</v>
      </c>
      <c r="H33" s="6" t="s">
        <v>70</v>
      </c>
      <c r="I33" s="6">
        <v>1</v>
      </c>
      <c r="J33" s="6" t="s">
        <v>49</v>
      </c>
      <c r="K33" s="20"/>
      <c r="L33" s="42"/>
    </row>
    <row r="34" spans="2:12" x14ac:dyDescent="0.25">
      <c r="B34" s="8">
        <v>31</v>
      </c>
      <c r="C34" s="8" t="s">
        <v>376</v>
      </c>
      <c r="D34" s="8" t="s">
        <v>139</v>
      </c>
      <c r="E34" s="6" t="s">
        <v>96</v>
      </c>
      <c r="F34" s="6" t="s">
        <v>782</v>
      </c>
      <c r="G34" s="6" t="s">
        <v>70</v>
      </c>
      <c r="H34" s="3" t="s">
        <v>70</v>
      </c>
      <c r="I34" s="6">
        <v>1</v>
      </c>
      <c r="J34" s="6" t="s">
        <v>351</v>
      </c>
      <c r="K34" s="41"/>
      <c r="L34" s="42"/>
    </row>
    <row r="35" spans="2:12" x14ac:dyDescent="0.25">
      <c r="B35" s="8">
        <v>32</v>
      </c>
      <c r="C35" s="83" t="s">
        <v>356</v>
      </c>
      <c r="D35" s="83" t="s">
        <v>110</v>
      </c>
      <c r="E35" s="85" t="s">
        <v>358</v>
      </c>
      <c r="F35" s="6" t="s">
        <v>359</v>
      </c>
      <c r="G35" s="85" t="s">
        <v>70</v>
      </c>
      <c r="H35" s="85" t="s">
        <v>70</v>
      </c>
      <c r="I35" s="85">
        <v>2</v>
      </c>
      <c r="J35" s="85" t="s">
        <v>357</v>
      </c>
      <c r="K35" s="20" t="s">
        <v>335</v>
      </c>
      <c r="L35" s="42"/>
    </row>
    <row r="36" spans="2:12" x14ac:dyDescent="0.25">
      <c r="B36" s="8">
        <v>33</v>
      </c>
      <c r="C36" s="84"/>
      <c r="D36" s="84"/>
      <c r="E36" s="86"/>
      <c r="F36" s="6" t="s">
        <v>360</v>
      </c>
      <c r="G36" s="86"/>
      <c r="H36" s="86"/>
      <c r="I36" s="86"/>
      <c r="J36" s="86"/>
      <c r="K36" s="20" t="s">
        <v>335</v>
      </c>
      <c r="L36" s="42"/>
    </row>
    <row r="37" spans="2:12" x14ac:dyDescent="0.25">
      <c r="B37" s="8">
        <v>34</v>
      </c>
      <c r="C37" s="8" t="s">
        <v>194</v>
      </c>
      <c r="D37" s="8" t="s">
        <v>139</v>
      </c>
      <c r="E37" s="6" t="s">
        <v>11</v>
      </c>
      <c r="F37" s="6" t="s">
        <v>197</v>
      </c>
      <c r="G37" s="6" t="s">
        <v>70</v>
      </c>
      <c r="H37" s="6" t="s">
        <v>70</v>
      </c>
      <c r="I37" s="6">
        <v>1</v>
      </c>
      <c r="J37" s="6" t="s">
        <v>55</v>
      </c>
      <c r="K37" s="20"/>
      <c r="L37" s="42"/>
    </row>
    <row r="38" spans="2:12" x14ac:dyDescent="0.25">
      <c r="B38" s="8">
        <v>35</v>
      </c>
      <c r="C38" s="8" t="s">
        <v>204</v>
      </c>
      <c r="D38" s="8" t="s">
        <v>110</v>
      </c>
      <c r="E38" s="6" t="s">
        <v>11</v>
      </c>
      <c r="F38" s="6" t="s">
        <v>353</v>
      </c>
      <c r="G38" s="6" t="s">
        <v>70</v>
      </c>
      <c r="H38" s="4" t="s">
        <v>70</v>
      </c>
      <c r="I38" s="6">
        <v>1</v>
      </c>
      <c r="J38" s="6" t="s">
        <v>9</v>
      </c>
      <c r="K38" s="20"/>
      <c r="L38" s="42"/>
    </row>
    <row r="39" spans="2:12" x14ac:dyDescent="0.25">
      <c r="B39" s="8">
        <v>36</v>
      </c>
      <c r="C39" s="8" t="s">
        <v>381</v>
      </c>
      <c r="D39" s="8" t="s">
        <v>139</v>
      </c>
      <c r="E39" s="6" t="s">
        <v>143</v>
      </c>
      <c r="F39" s="6" t="s">
        <v>380</v>
      </c>
      <c r="G39" s="6" t="s">
        <v>70</v>
      </c>
      <c r="H39" s="6" t="s">
        <v>70</v>
      </c>
      <c r="I39" s="6">
        <v>1</v>
      </c>
      <c r="J39" s="6" t="s">
        <v>3</v>
      </c>
      <c r="K39" s="20"/>
      <c r="L39" s="42"/>
    </row>
    <row r="40" spans="2:12" x14ac:dyDescent="0.25">
      <c r="B40" s="8">
        <v>37</v>
      </c>
      <c r="C40" s="34" t="s">
        <v>151</v>
      </c>
      <c r="D40" s="34" t="s">
        <v>139</v>
      </c>
      <c r="E40" s="20" t="s">
        <v>143</v>
      </c>
      <c r="F40" s="20" t="s">
        <v>57</v>
      </c>
      <c r="G40" s="20" t="s">
        <v>70</v>
      </c>
      <c r="H40" s="20" t="s">
        <v>70</v>
      </c>
      <c r="I40" s="20">
        <v>1</v>
      </c>
      <c r="J40" s="20" t="s">
        <v>9</v>
      </c>
      <c r="K40" s="20" t="s">
        <v>262</v>
      </c>
      <c r="L40" s="42"/>
    </row>
    <row r="41" spans="2:12" x14ac:dyDescent="0.25">
      <c r="B41" s="8">
        <v>38</v>
      </c>
      <c r="C41" s="34" t="s">
        <v>217</v>
      </c>
      <c r="D41" s="34" t="s">
        <v>139</v>
      </c>
      <c r="E41" s="20" t="s">
        <v>11</v>
      </c>
      <c r="F41" s="20" t="s">
        <v>216</v>
      </c>
      <c r="G41" s="20" t="s">
        <v>70</v>
      </c>
      <c r="H41" s="20" t="s">
        <v>70</v>
      </c>
      <c r="I41" s="20">
        <v>1</v>
      </c>
      <c r="J41" s="20" t="s">
        <v>12</v>
      </c>
      <c r="K41" s="20" t="s">
        <v>262</v>
      </c>
      <c r="L41" s="42"/>
    </row>
    <row r="42" spans="2:12" x14ac:dyDescent="0.25">
      <c r="B42" s="8">
        <v>39</v>
      </c>
      <c r="C42" s="8" t="s">
        <v>187</v>
      </c>
      <c r="D42" s="8" t="s">
        <v>139</v>
      </c>
      <c r="E42" s="6" t="s">
        <v>99</v>
      </c>
      <c r="F42" s="6" t="s">
        <v>59</v>
      </c>
      <c r="G42" s="6" t="s">
        <v>70</v>
      </c>
      <c r="H42" s="6" t="s">
        <v>70</v>
      </c>
      <c r="I42" s="6">
        <v>1</v>
      </c>
      <c r="J42" s="6" t="s">
        <v>150</v>
      </c>
      <c r="K42" s="20"/>
      <c r="L42" s="42"/>
    </row>
    <row r="43" spans="2:12" x14ac:dyDescent="0.25">
      <c r="B43" s="8">
        <v>40</v>
      </c>
      <c r="C43" s="8" t="s">
        <v>161</v>
      </c>
      <c r="D43" s="8" t="s">
        <v>110</v>
      </c>
      <c r="E43" s="6" t="s">
        <v>96</v>
      </c>
      <c r="F43" s="6" t="s">
        <v>162</v>
      </c>
      <c r="G43" s="6" t="s">
        <v>70</v>
      </c>
      <c r="H43" s="6" t="s">
        <v>70</v>
      </c>
      <c r="I43" s="6">
        <v>1</v>
      </c>
      <c r="J43" s="6" t="s">
        <v>12</v>
      </c>
      <c r="K43" s="20"/>
      <c r="L43" s="42"/>
    </row>
    <row r="44" spans="2:12" x14ac:dyDescent="0.25">
      <c r="B44" s="8">
        <v>41</v>
      </c>
      <c r="C44" s="8" t="s">
        <v>198</v>
      </c>
      <c r="D44" s="8" t="s">
        <v>139</v>
      </c>
      <c r="E44" s="6" t="s">
        <v>11</v>
      </c>
      <c r="F44" s="6" t="s">
        <v>53</v>
      </c>
      <c r="G44" s="6" t="s">
        <v>70</v>
      </c>
      <c r="H44" s="6" t="s">
        <v>70</v>
      </c>
      <c r="I44" s="6">
        <v>1</v>
      </c>
      <c r="J44" s="6" t="s">
        <v>9</v>
      </c>
      <c r="K44" s="20"/>
      <c r="L44" s="42"/>
    </row>
    <row r="45" spans="2:12" x14ac:dyDescent="0.25">
      <c r="B45" s="8">
        <v>42</v>
      </c>
      <c r="C45" s="8" t="s">
        <v>200</v>
      </c>
      <c r="D45" s="8" t="s">
        <v>139</v>
      </c>
      <c r="E45" s="6" t="s">
        <v>11</v>
      </c>
      <c r="F45" s="6" t="s">
        <v>354</v>
      </c>
      <c r="G45" s="6" t="s">
        <v>70</v>
      </c>
      <c r="H45" s="6" t="s">
        <v>70</v>
      </c>
      <c r="I45" s="6">
        <v>1</v>
      </c>
      <c r="J45" s="6" t="s">
        <v>47</v>
      </c>
      <c r="K45" s="20"/>
      <c r="L45" s="42"/>
    </row>
    <row r="46" spans="2:12" x14ac:dyDescent="0.25">
      <c r="B46" s="8">
        <v>43</v>
      </c>
      <c r="C46" s="8" t="s">
        <v>172</v>
      </c>
      <c r="D46" s="8" t="s">
        <v>110</v>
      </c>
      <c r="E46" s="6" t="s">
        <v>25</v>
      </c>
      <c r="F46" s="6">
        <v>345203</v>
      </c>
      <c r="G46" s="6" t="s">
        <v>70</v>
      </c>
      <c r="H46" s="6" t="s">
        <v>70</v>
      </c>
      <c r="I46" s="6">
        <v>1</v>
      </c>
      <c r="J46" s="6" t="s">
        <v>7</v>
      </c>
      <c r="K46" s="20"/>
      <c r="L46" s="42"/>
    </row>
    <row r="47" spans="2:12" x14ac:dyDescent="0.25">
      <c r="B47" s="8">
        <v>46</v>
      </c>
      <c r="C47" s="8" t="s">
        <v>141</v>
      </c>
      <c r="D47" s="8" t="s">
        <v>142</v>
      </c>
      <c r="E47" s="6" t="s">
        <v>99</v>
      </c>
      <c r="F47" s="6" t="s">
        <v>60</v>
      </c>
      <c r="G47" s="6" t="s">
        <v>70</v>
      </c>
      <c r="H47" s="6" t="s">
        <v>70</v>
      </c>
      <c r="I47" s="6">
        <v>1</v>
      </c>
      <c r="J47" s="6" t="s">
        <v>12</v>
      </c>
      <c r="K47" s="20"/>
      <c r="L47" s="42"/>
    </row>
    <row r="48" spans="2:12" x14ac:dyDescent="0.25">
      <c r="B48" s="8">
        <v>47</v>
      </c>
      <c r="C48" s="8" t="s">
        <v>169</v>
      </c>
      <c r="D48" s="8" t="s">
        <v>110</v>
      </c>
      <c r="E48" s="6" t="s">
        <v>170</v>
      </c>
      <c r="F48" s="6" t="s">
        <v>171</v>
      </c>
      <c r="G48" s="6" t="s">
        <v>70</v>
      </c>
      <c r="H48" s="6" t="s">
        <v>70</v>
      </c>
      <c r="I48" s="6">
        <v>1</v>
      </c>
      <c r="J48" s="6" t="s">
        <v>7</v>
      </c>
      <c r="K48" s="20"/>
      <c r="L48" s="42"/>
    </row>
    <row r="49" spans="2:12" x14ac:dyDescent="0.25">
      <c r="B49" s="8">
        <v>48</v>
      </c>
      <c r="C49" s="34" t="s">
        <v>158</v>
      </c>
      <c r="D49" s="34" t="s">
        <v>110</v>
      </c>
      <c r="E49" s="20" t="s">
        <v>143</v>
      </c>
      <c r="F49" s="20" t="s">
        <v>15</v>
      </c>
      <c r="G49" s="20" t="s">
        <v>70</v>
      </c>
      <c r="H49" s="20" t="s">
        <v>70</v>
      </c>
      <c r="I49" s="20">
        <v>1</v>
      </c>
      <c r="J49" s="20" t="s">
        <v>7</v>
      </c>
      <c r="K49" s="20"/>
      <c r="L49" s="42"/>
    </row>
    <row r="50" spans="2:12" x14ac:dyDescent="0.25">
      <c r="B50" s="8">
        <v>49</v>
      </c>
      <c r="C50" s="34" t="s">
        <v>158</v>
      </c>
      <c r="D50" s="34" t="s">
        <v>139</v>
      </c>
      <c r="E50" s="20" t="s">
        <v>143</v>
      </c>
      <c r="F50" s="20" t="s">
        <v>15</v>
      </c>
      <c r="G50" s="20" t="s">
        <v>70</v>
      </c>
      <c r="H50" s="20" t="s">
        <v>70</v>
      </c>
      <c r="I50" s="20">
        <v>1</v>
      </c>
      <c r="J50" s="20" t="s">
        <v>7</v>
      </c>
      <c r="K50" s="20"/>
      <c r="L50" s="42"/>
    </row>
    <row r="51" spans="2:12" x14ac:dyDescent="0.25">
      <c r="B51" s="8">
        <v>50</v>
      </c>
      <c r="C51" s="34" t="s">
        <v>158</v>
      </c>
      <c r="D51" s="34" t="s">
        <v>110</v>
      </c>
      <c r="E51" s="20" t="s">
        <v>143</v>
      </c>
      <c r="F51" s="20" t="s">
        <v>233</v>
      </c>
      <c r="G51" s="20" t="s">
        <v>70</v>
      </c>
      <c r="H51" s="20" t="s">
        <v>70</v>
      </c>
      <c r="I51" s="20">
        <v>1</v>
      </c>
      <c r="J51" s="20" t="s">
        <v>9</v>
      </c>
      <c r="K51" s="20"/>
      <c r="L51" s="42"/>
    </row>
    <row r="52" spans="2:12" x14ac:dyDescent="0.25">
      <c r="B52" s="8">
        <v>51</v>
      </c>
      <c r="C52" s="34" t="s">
        <v>188</v>
      </c>
      <c r="D52" s="34" t="s">
        <v>146</v>
      </c>
      <c r="E52" s="20" t="s">
        <v>143</v>
      </c>
      <c r="F52" s="20" t="s">
        <v>16</v>
      </c>
      <c r="G52" s="20" t="s">
        <v>70</v>
      </c>
      <c r="H52" s="20" t="s">
        <v>70</v>
      </c>
      <c r="I52" s="20">
        <v>1</v>
      </c>
      <c r="J52" s="20" t="s">
        <v>7</v>
      </c>
      <c r="K52" s="20"/>
      <c r="L52" s="42"/>
    </row>
    <row r="53" spans="2:12" x14ac:dyDescent="0.25">
      <c r="B53" s="8">
        <v>52</v>
      </c>
      <c r="C53" s="34" t="s">
        <v>138</v>
      </c>
      <c r="D53" s="34" t="s">
        <v>139</v>
      </c>
      <c r="E53" s="20" t="s">
        <v>76</v>
      </c>
      <c r="F53" s="20" t="s">
        <v>140</v>
      </c>
      <c r="G53" s="20" t="s">
        <v>70</v>
      </c>
      <c r="H53" s="20" t="s">
        <v>70</v>
      </c>
      <c r="I53" s="20">
        <v>1</v>
      </c>
      <c r="J53" s="20" t="s">
        <v>17</v>
      </c>
      <c r="K53" s="20"/>
      <c r="L53" s="42"/>
    </row>
    <row r="54" spans="2:12" x14ac:dyDescent="0.25">
      <c r="B54" s="8">
        <v>53</v>
      </c>
      <c r="C54" s="34" t="s">
        <v>138</v>
      </c>
      <c r="D54" s="34" t="s">
        <v>110</v>
      </c>
      <c r="E54" s="20" t="s">
        <v>76</v>
      </c>
      <c r="F54" s="20" t="s">
        <v>183</v>
      </c>
      <c r="G54" s="20" t="s">
        <v>70</v>
      </c>
      <c r="H54" s="39">
        <v>43466</v>
      </c>
      <c r="I54" s="20">
        <v>1</v>
      </c>
      <c r="J54" s="20" t="s">
        <v>20</v>
      </c>
      <c r="K54" s="20"/>
      <c r="L54" s="42"/>
    </row>
    <row r="55" spans="2:12" x14ac:dyDescent="0.25">
      <c r="B55" s="8">
        <v>54</v>
      </c>
      <c r="C55" s="34" t="s">
        <v>138</v>
      </c>
      <c r="D55" s="34" t="s">
        <v>247</v>
      </c>
      <c r="E55" s="20" t="s">
        <v>124</v>
      </c>
      <c r="F55" s="20" t="s">
        <v>373</v>
      </c>
      <c r="G55" s="20" t="s">
        <v>124</v>
      </c>
      <c r="H55" s="20" t="s">
        <v>124</v>
      </c>
      <c r="I55" s="20">
        <v>1</v>
      </c>
      <c r="J55" s="20" t="s">
        <v>89</v>
      </c>
      <c r="K55" s="20"/>
      <c r="L55" s="42"/>
    </row>
    <row r="56" spans="2:12" x14ac:dyDescent="0.25">
      <c r="B56" s="8">
        <v>55</v>
      </c>
      <c r="C56" s="8" t="s">
        <v>165</v>
      </c>
      <c r="D56" s="8" t="s">
        <v>139</v>
      </c>
      <c r="E56" s="6" t="s">
        <v>166</v>
      </c>
      <c r="F56" s="6" t="s">
        <v>50</v>
      </c>
      <c r="G56" s="6" t="s">
        <v>70</v>
      </c>
      <c r="H56" s="6" t="s">
        <v>70</v>
      </c>
      <c r="I56" s="6">
        <v>1</v>
      </c>
      <c r="J56" s="6" t="s">
        <v>167</v>
      </c>
      <c r="K56" s="20"/>
      <c r="L56" s="42"/>
    </row>
    <row r="57" spans="2:12" x14ac:dyDescent="0.25">
      <c r="B57" s="8">
        <v>57</v>
      </c>
      <c r="C57" s="8" t="s">
        <v>185</v>
      </c>
      <c r="D57" s="8" t="s">
        <v>139</v>
      </c>
      <c r="E57" s="6" t="s">
        <v>99</v>
      </c>
      <c r="F57" s="6" t="s">
        <v>43</v>
      </c>
      <c r="G57" s="6" t="s">
        <v>70</v>
      </c>
      <c r="H57" s="6" t="s">
        <v>70</v>
      </c>
      <c r="I57" s="6">
        <v>2</v>
      </c>
      <c r="J57" s="6" t="s">
        <v>7</v>
      </c>
      <c r="K57" s="20"/>
      <c r="L57" s="42"/>
    </row>
    <row r="58" spans="2:12" x14ac:dyDescent="0.25">
      <c r="B58" s="8">
        <v>58</v>
      </c>
      <c r="C58" s="34" t="s">
        <v>179</v>
      </c>
      <c r="D58" s="34" t="s">
        <v>110</v>
      </c>
      <c r="E58" s="20" t="s">
        <v>143</v>
      </c>
      <c r="F58" s="20" t="s">
        <v>45</v>
      </c>
      <c r="G58" s="20" t="s">
        <v>70</v>
      </c>
      <c r="H58" s="20" t="s">
        <v>70</v>
      </c>
      <c r="I58" s="20">
        <v>1</v>
      </c>
      <c r="J58" s="20" t="s">
        <v>7</v>
      </c>
      <c r="K58" s="20"/>
      <c r="L58" s="42"/>
    </row>
    <row r="59" spans="2:12" x14ac:dyDescent="0.25">
      <c r="B59" s="8">
        <v>59</v>
      </c>
      <c r="C59" s="34" t="s">
        <v>179</v>
      </c>
      <c r="D59" s="34" t="s">
        <v>139</v>
      </c>
      <c r="E59" s="20" t="s">
        <v>99</v>
      </c>
      <c r="F59" s="20" t="s">
        <v>23</v>
      </c>
      <c r="G59" s="20" t="s">
        <v>70</v>
      </c>
      <c r="H59" s="20" t="s">
        <v>70</v>
      </c>
      <c r="I59" s="20">
        <v>1</v>
      </c>
      <c r="J59" s="20" t="s">
        <v>7</v>
      </c>
      <c r="K59" s="20"/>
      <c r="L59" s="42"/>
    </row>
    <row r="60" spans="2:12" x14ac:dyDescent="0.25">
      <c r="B60" s="8">
        <v>60</v>
      </c>
      <c r="C60" s="34" t="s">
        <v>245</v>
      </c>
      <c r="D60" s="34" t="s">
        <v>110</v>
      </c>
      <c r="E60" s="20" t="s">
        <v>99</v>
      </c>
      <c r="F60" s="20" t="s">
        <v>244</v>
      </c>
      <c r="G60" s="20" t="s">
        <v>70</v>
      </c>
      <c r="H60" s="20" t="s">
        <v>70</v>
      </c>
      <c r="I60" s="20">
        <v>1</v>
      </c>
      <c r="J60" s="20" t="s">
        <v>12</v>
      </c>
      <c r="K60" s="20"/>
      <c r="L60" s="42"/>
    </row>
    <row r="61" spans="2:12" x14ac:dyDescent="0.25">
      <c r="B61" s="8">
        <v>61</v>
      </c>
      <c r="C61" s="34" t="s">
        <v>144</v>
      </c>
      <c r="D61" s="34" t="s">
        <v>142</v>
      </c>
      <c r="E61" s="20" t="s">
        <v>99</v>
      </c>
      <c r="F61" s="20" t="s">
        <v>62</v>
      </c>
      <c r="G61" s="20" t="s">
        <v>70</v>
      </c>
      <c r="H61" s="20" t="s">
        <v>70</v>
      </c>
      <c r="I61" s="20">
        <v>1</v>
      </c>
      <c r="J61" s="20" t="s">
        <v>7</v>
      </c>
      <c r="K61" s="20"/>
      <c r="L61" s="42"/>
    </row>
    <row r="62" spans="2:12" x14ac:dyDescent="0.25">
      <c r="B62" s="8">
        <v>62</v>
      </c>
      <c r="C62" s="34" t="s">
        <v>210</v>
      </c>
      <c r="D62" s="34" t="s">
        <v>110</v>
      </c>
      <c r="E62" s="20" t="s">
        <v>11</v>
      </c>
      <c r="F62" s="20" t="s">
        <v>375</v>
      </c>
      <c r="G62" s="20" t="s">
        <v>70</v>
      </c>
      <c r="H62" s="20" t="s">
        <v>70</v>
      </c>
      <c r="I62" s="20">
        <v>1</v>
      </c>
      <c r="J62" s="20" t="s">
        <v>9</v>
      </c>
      <c r="K62" s="20"/>
      <c r="L62" s="42"/>
    </row>
    <row r="63" spans="2:12" x14ac:dyDescent="0.25">
      <c r="B63" s="8">
        <v>63</v>
      </c>
      <c r="C63" s="8" t="s">
        <v>210</v>
      </c>
      <c r="D63" s="8" t="s">
        <v>139</v>
      </c>
      <c r="E63" s="6" t="s">
        <v>11</v>
      </c>
      <c r="F63" s="6" t="s">
        <v>374</v>
      </c>
      <c r="G63" s="6" t="s">
        <v>70</v>
      </c>
      <c r="H63" s="6" t="s">
        <v>70</v>
      </c>
      <c r="I63" s="6">
        <v>1</v>
      </c>
      <c r="J63" s="6" t="s">
        <v>9</v>
      </c>
      <c r="K63" s="20"/>
      <c r="L63" s="42"/>
    </row>
    <row r="64" spans="2:12" x14ac:dyDescent="0.25">
      <c r="B64" s="8">
        <v>64</v>
      </c>
      <c r="C64" s="8" t="s">
        <v>210</v>
      </c>
      <c r="D64" s="8" t="s">
        <v>139</v>
      </c>
      <c r="E64" s="6" t="s">
        <v>143</v>
      </c>
      <c r="F64" s="6" t="s">
        <v>211</v>
      </c>
      <c r="G64" s="6" t="s">
        <v>70</v>
      </c>
      <c r="H64" s="6" t="s">
        <v>70</v>
      </c>
      <c r="I64" s="6">
        <v>1</v>
      </c>
      <c r="J64" s="6" t="s">
        <v>9</v>
      </c>
      <c r="K64" s="20"/>
      <c r="L64" s="42"/>
    </row>
    <row r="65" spans="2:13" x14ac:dyDescent="0.25">
      <c r="B65" s="8">
        <v>65</v>
      </c>
      <c r="C65" s="8" t="s">
        <v>184</v>
      </c>
      <c r="D65" s="8" t="s">
        <v>110</v>
      </c>
      <c r="E65" s="6" t="s">
        <v>99</v>
      </c>
      <c r="F65" s="6" t="s">
        <v>54</v>
      </c>
      <c r="G65" s="6" t="s">
        <v>70</v>
      </c>
      <c r="H65" s="6" t="s">
        <v>70</v>
      </c>
      <c r="I65" s="6">
        <v>1</v>
      </c>
      <c r="J65" s="6" t="s">
        <v>17</v>
      </c>
      <c r="K65" s="20"/>
      <c r="L65" s="42"/>
    </row>
    <row r="66" spans="2:13" x14ac:dyDescent="0.25">
      <c r="B66" s="8">
        <v>66</v>
      </c>
      <c r="C66" s="8" t="s">
        <v>218</v>
      </c>
      <c r="D66" s="8" t="s">
        <v>219</v>
      </c>
      <c r="E66" s="6" t="s">
        <v>11</v>
      </c>
      <c r="F66" s="6" t="s">
        <v>61</v>
      </c>
      <c r="G66" s="6" t="s">
        <v>70</v>
      </c>
      <c r="H66" s="6" t="s">
        <v>70</v>
      </c>
      <c r="I66" s="6">
        <v>1</v>
      </c>
      <c r="J66" s="6" t="s">
        <v>7</v>
      </c>
      <c r="K66" s="20"/>
      <c r="L66" s="42"/>
    </row>
    <row r="67" spans="2:13" x14ac:dyDescent="0.25">
      <c r="B67" s="8">
        <v>67</v>
      </c>
      <c r="C67" s="8" t="s">
        <v>218</v>
      </c>
      <c r="D67" s="8" t="s">
        <v>139</v>
      </c>
      <c r="E67" s="6" t="s">
        <v>143</v>
      </c>
      <c r="F67" s="6" t="s">
        <v>14</v>
      </c>
      <c r="G67" s="6" t="s">
        <v>70</v>
      </c>
      <c r="H67" s="6" t="s">
        <v>70</v>
      </c>
      <c r="I67" s="6">
        <v>1</v>
      </c>
      <c r="J67" s="6" t="s">
        <v>220</v>
      </c>
      <c r="K67" s="20"/>
      <c r="L67" s="42"/>
      <c r="M67" s="24"/>
    </row>
    <row r="68" spans="2:13" x14ac:dyDescent="0.25">
      <c r="B68" s="8">
        <v>68</v>
      </c>
      <c r="C68" s="8" t="s">
        <v>364</v>
      </c>
      <c r="D68" s="8" t="s">
        <v>363</v>
      </c>
      <c r="E68" s="8" t="s">
        <v>19</v>
      </c>
      <c r="F68" s="8" t="s">
        <v>362</v>
      </c>
      <c r="G68" s="13" t="s">
        <v>70</v>
      </c>
      <c r="H68" s="13">
        <v>46477</v>
      </c>
      <c r="I68" s="8">
        <v>1</v>
      </c>
      <c r="J68" s="6" t="s">
        <v>351</v>
      </c>
      <c r="K68" s="34"/>
      <c r="L68" s="42"/>
    </row>
    <row r="69" spans="2:13" x14ac:dyDescent="0.25">
      <c r="B69" s="8">
        <v>69</v>
      </c>
      <c r="C69" s="8" t="s">
        <v>370</v>
      </c>
      <c r="D69" s="8" t="s">
        <v>371</v>
      </c>
      <c r="E69" s="6" t="s">
        <v>358</v>
      </c>
      <c r="F69" s="8">
        <v>1003778494</v>
      </c>
      <c r="G69" s="13" t="s">
        <v>70</v>
      </c>
      <c r="H69" s="6" t="s">
        <v>70</v>
      </c>
      <c r="I69" s="6">
        <v>1</v>
      </c>
      <c r="J69" s="6" t="s">
        <v>372</v>
      </c>
      <c r="K69" s="34"/>
      <c r="L69" s="42"/>
    </row>
    <row r="70" spans="2:13" x14ac:dyDescent="0.25">
      <c r="B70" s="8">
        <v>70</v>
      </c>
      <c r="C70" s="34" t="s">
        <v>384</v>
      </c>
      <c r="D70" s="8" t="s">
        <v>371</v>
      </c>
      <c r="E70" s="6" t="s">
        <v>19</v>
      </c>
      <c r="F70" s="6" t="s">
        <v>385</v>
      </c>
      <c r="G70" s="13" t="s">
        <v>70</v>
      </c>
      <c r="H70" s="8"/>
      <c r="I70" s="8">
        <v>1</v>
      </c>
      <c r="J70" s="6" t="s">
        <v>351</v>
      </c>
      <c r="K70" s="34"/>
      <c r="L70" s="42"/>
    </row>
    <row r="71" spans="2:13" x14ac:dyDescent="0.25">
      <c r="B71" s="8">
        <v>71</v>
      </c>
      <c r="C71" s="34" t="s">
        <v>386</v>
      </c>
      <c r="D71" s="8" t="s">
        <v>371</v>
      </c>
      <c r="E71" s="6" t="s">
        <v>387</v>
      </c>
      <c r="F71" s="6" t="s">
        <v>388</v>
      </c>
      <c r="G71" s="13" t="s">
        <v>70</v>
      </c>
      <c r="H71" s="8"/>
      <c r="I71" s="8">
        <v>1</v>
      </c>
      <c r="J71" s="6" t="s">
        <v>390</v>
      </c>
      <c r="K71" s="34"/>
      <c r="L71" s="42"/>
    </row>
    <row r="72" spans="2:13" x14ac:dyDescent="0.25">
      <c r="B72" s="8">
        <v>72</v>
      </c>
      <c r="C72" s="8" t="s">
        <v>389</v>
      </c>
      <c r="D72" s="8" t="s">
        <v>371</v>
      </c>
      <c r="E72" s="6" t="s">
        <v>387</v>
      </c>
      <c r="F72" s="8">
        <v>103741446</v>
      </c>
      <c r="G72" s="13" t="s">
        <v>70</v>
      </c>
      <c r="H72" s="8"/>
      <c r="I72" s="8">
        <v>1</v>
      </c>
      <c r="J72" s="6" t="s">
        <v>390</v>
      </c>
      <c r="K72" s="34"/>
      <c r="L72" s="42"/>
    </row>
    <row r="73" spans="2:13" x14ac:dyDescent="0.25">
      <c r="B73" s="8">
        <v>73</v>
      </c>
      <c r="C73" s="8" t="s">
        <v>389</v>
      </c>
      <c r="D73" s="8" t="s">
        <v>371</v>
      </c>
      <c r="E73" s="6" t="s">
        <v>19</v>
      </c>
      <c r="F73" s="8" t="s">
        <v>391</v>
      </c>
      <c r="G73" s="13" t="s">
        <v>70</v>
      </c>
      <c r="H73" s="8"/>
      <c r="I73" s="8">
        <v>1</v>
      </c>
      <c r="J73" s="6" t="s">
        <v>390</v>
      </c>
      <c r="K73" s="34"/>
      <c r="L73" s="42"/>
    </row>
    <row r="74" spans="2:13" x14ac:dyDescent="0.25">
      <c r="B74" s="8">
        <v>74</v>
      </c>
      <c r="C74" s="8" t="s">
        <v>392</v>
      </c>
      <c r="D74" s="8" t="s">
        <v>371</v>
      </c>
      <c r="E74" s="6" t="s">
        <v>387</v>
      </c>
      <c r="F74" s="8">
        <v>1003797314</v>
      </c>
      <c r="G74" s="13" t="s">
        <v>70</v>
      </c>
      <c r="H74" s="8"/>
      <c r="I74" s="8">
        <v>1</v>
      </c>
      <c r="J74" s="6" t="s">
        <v>372</v>
      </c>
      <c r="K74" s="34"/>
      <c r="L74" s="42"/>
    </row>
    <row r="75" spans="2:13" x14ac:dyDescent="0.25">
      <c r="B75" s="8">
        <v>75</v>
      </c>
      <c r="C75" s="8" t="s">
        <v>396</v>
      </c>
      <c r="D75" s="8" t="s">
        <v>371</v>
      </c>
      <c r="E75" s="6" t="s">
        <v>19</v>
      </c>
      <c r="F75" s="8" t="s">
        <v>397</v>
      </c>
      <c r="G75" s="13" t="s">
        <v>70</v>
      </c>
      <c r="H75" s="8"/>
      <c r="I75" s="8">
        <v>1</v>
      </c>
      <c r="J75" s="6" t="s">
        <v>394</v>
      </c>
      <c r="K75" s="34"/>
      <c r="L75" s="42"/>
    </row>
    <row r="76" spans="2:13" x14ac:dyDescent="0.25">
      <c r="B76" s="8">
        <v>76</v>
      </c>
      <c r="C76" s="8" t="s">
        <v>398</v>
      </c>
      <c r="D76" s="8" t="s">
        <v>371</v>
      </c>
      <c r="E76" s="6" t="s">
        <v>387</v>
      </c>
      <c r="F76" s="8">
        <v>1003519264</v>
      </c>
      <c r="G76" s="13" t="s">
        <v>70</v>
      </c>
      <c r="H76" s="8"/>
      <c r="I76" s="8">
        <v>1</v>
      </c>
      <c r="J76" s="6" t="s">
        <v>399</v>
      </c>
      <c r="K76" s="34"/>
      <c r="L76" s="42"/>
    </row>
    <row r="77" spans="2:13" x14ac:dyDescent="0.25">
      <c r="B77" s="8">
        <v>77</v>
      </c>
      <c r="C77" s="8" t="s">
        <v>400</v>
      </c>
      <c r="D77" s="8" t="s">
        <v>371</v>
      </c>
      <c r="E77" s="6" t="s">
        <v>387</v>
      </c>
      <c r="F77" s="8">
        <v>380673</v>
      </c>
      <c r="G77" s="8"/>
      <c r="H77" s="8"/>
      <c r="I77" s="8">
        <v>1</v>
      </c>
      <c r="J77" s="6" t="s">
        <v>393</v>
      </c>
      <c r="K77" s="34"/>
      <c r="L77" s="42"/>
    </row>
    <row r="78" spans="2:13" x14ac:dyDescent="0.25">
      <c r="B78" s="8">
        <v>78</v>
      </c>
      <c r="C78" s="8" t="s">
        <v>407</v>
      </c>
      <c r="D78" s="8" t="s">
        <v>139</v>
      </c>
      <c r="E78" s="6" t="s">
        <v>32</v>
      </c>
      <c r="F78" s="8">
        <v>50823</v>
      </c>
      <c r="G78" s="8"/>
      <c r="H78" s="8"/>
      <c r="I78" s="8">
        <v>1</v>
      </c>
      <c r="J78" s="6" t="s">
        <v>406</v>
      </c>
      <c r="K78" s="34"/>
      <c r="L78" s="42"/>
    </row>
    <row r="79" spans="2:13" x14ac:dyDescent="0.25">
      <c r="B79" s="8">
        <v>80</v>
      </c>
      <c r="C79" s="8" t="s">
        <v>756</v>
      </c>
      <c r="D79" s="8" t="s">
        <v>139</v>
      </c>
      <c r="E79" s="6" t="s">
        <v>757</v>
      </c>
      <c r="F79" s="8">
        <v>19602201</v>
      </c>
      <c r="G79" s="8" t="s">
        <v>759</v>
      </c>
      <c r="H79" s="54">
        <v>47150</v>
      </c>
      <c r="I79" s="8">
        <v>1</v>
      </c>
      <c r="J79" s="6" t="s">
        <v>758</v>
      </c>
      <c r="K79" s="34"/>
      <c r="L79" s="42"/>
    </row>
    <row r="80" spans="2:13" x14ac:dyDescent="0.25">
      <c r="B80" s="31">
        <v>81</v>
      </c>
      <c r="C80" s="59" t="s">
        <v>762</v>
      </c>
      <c r="D80" s="59" t="s">
        <v>139</v>
      </c>
      <c r="E80" s="36" t="s">
        <v>19</v>
      </c>
      <c r="F80" s="36" t="s">
        <v>763</v>
      </c>
      <c r="G80" s="8"/>
      <c r="H80" s="8"/>
      <c r="I80" s="36">
        <v>2</v>
      </c>
      <c r="J80" s="36" t="s">
        <v>351</v>
      </c>
      <c r="K80" s="34"/>
      <c r="L80" s="42"/>
    </row>
    <row r="81" spans="2:12" x14ac:dyDescent="0.25">
      <c r="B81" s="31">
        <v>82</v>
      </c>
      <c r="C81" s="59" t="s">
        <v>762</v>
      </c>
      <c r="D81" s="59" t="s">
        <v>139</v>
      </c>
      <c r="E81" s="36" t="s">
        <v>19</v>
      </c>
      <c r="F81" s="36">
        <v>11922</v>
      </c>
      <c r="G81" s="8"/>
      <c r="H81" s="8"/>
      <c r="I81" s="36"/>
      <c r="J81" s="36" t="s">
        <v>372</v>
      </c>
      <c r="K81" s="34"/>
      <c r="L81" s="42"/>
    </row>
    <row r="82" spans="2:12" x14ac:dyDescent="0.25">
      <c r="B82" s="31">
        <v>83</v>
      </c>
      <c r="C82" s="8" t="s">
        <v>364</v>
      </c>
      <c r="D82" s="8" t="s">
        <v>363</v>
      </c>
      <c r="E82" s="8" t="s">
        <v>19</v>
      </c>
      <c r="F82" s="8" t="s">
        <v>764</v>
      </c>
      <c r="G82" s="13" t="s">
        <v>70</v>
      </c>
      <c r="H82" s="13">
        <v>46873</v>
      </c>
      <c r="I82" s="8">
        <v>1</v>
      </c>
      <c r="J82" s="6" t="s">
        <v>351</v>
      </c>
      <c r="K82" s="34"/>
      <c r="L82" s="42"/>
    </row>
    <row r="83" spans="2:12" x14ac:dyDescent="0.25">
      <c r="B83" s="31">
        <v>84</v>
      </c>
      <c r="C83" s="8" t="s">
        <v>767</v>
      </c>
      <c r="D83" s="8" t="s">
        <v>139</v>
      </c>
      <c r="E83" s="8" t="s">
        <v>358</v>
      </c>
      <c r="F83" s="8">
        <v>102525037</v>
      </c>
      <c r="G83" s="8" t="s">
        <v>70</v>
      </c>
      <c r="H83" s="8" t="s">
        <v>70</v>
      </c>
      <c r="I83" s="8">
        <v>1</v>
      </c>
      <c r="J83" s="8" t="s">
        <v>393</v>
      </c>
      <c r="K83" s="34"/>
      <c r="L83" s="42"/>
    </row>
    <row r="84" spans="2:12" x14ac:dyDescent="0.25">
      <c r="B84" s="31">
        <v>85</v>
      </c>
      <c r="C84" s="8" t="s">
        <v>768</v>
      </c>
      <c r="D84" s="8" t="s">
        <v>363</v>
      </c>
      <c r="E84" s="8" t="s">
        <v>358</v>
      </c>
      <c r="F84" s="8">
        <v>435915</v>
      </c>
      <c r="G84" s="8" t="s">
        <v>70</v>
      </c>
      <c r="H84" s="8" t="s">
        <v>70</v>
      </c>
      <c r="I84" s="8"/>
      <c r="J84" s="8" t="s">
        <v>769</v>
      </c>
      <c r="K84" s="34"/>
      <c r="L84" s="19"/>
    </row>
    <row r="85" spans="2:12" x14ac:dyDescent="0.25">
      <c r="B85" s="31">
        <v>86</v>
      </c>
      <c r="C85" s="8" t="s">
        <v>770</v>
      </c>
      <c r="D85" s="8" t="s">
        <v>139</v>
      </c>
      <c r="E85" s="8" t="s">
        <v>358</v>
      </c>
      <c r="F85" s="8">
        <v>1025089221</v>
      </c>
      <c r="G85" s="8" t="s">
        <v>70</v>
      </c>
      <c r="H85" s="8" t="s">
        <v>70</v>
      </c>
      <c r="I85" s="8">
        <v>2</v>
      </c>
      <c r="J85" s="8" t="s">
        <v>394</v>
      </c>
      <c r="K85" s="34"/>
      <c r="L85" s="42"/>
    </row>
    <row r="86" spans="2:12" x14ac:dyDescent="0.25">
      <c r="B86" s="31">
        <v>87</v>
      </c>
      <c r="C86" s="8" t="s">
        <v>771</v>
      </c>
      <c r="D86" s="8" t="s">
        <v>110</v>
      </c>
      <c r="E86" s="8" t="s">
        <v>358</v>
      </c>
      <c r="F86" s="8">
        <v>102641031</v>
      </c>
      <c r="G86" s="8" t="s">
        <v>70</v>
      </c>
      <c r="H86" s="8" t="s">
        <v>70</v>
      </c>
      <c r="I86" s="8">
        <v>1</v>
      </c>
      <c r="J86" s="8" t="s">
        <v>357</v>
      </c>
      <c r="K86" s="34"/>
      <c r="L86" s="42"/>
    </row>
    <row r="87" spans="2:12" x14ac:dyDescent="0.25">
      <c r="B87" s="31">
        <v>88</v>
      </c>
      <c r="C87" s="8" t="s">
        <v>783</v>
      </c>
      <c r="D87" s="8" t="s">
        <v>784</v>
      </c>
      <c r="E87" s="8"/>
      <c r="F87" s="8"/>
      <c r="G87" s="8" t="s">
        <v>70</v>
      </c>
      <c r="H87" s="8" t="s">
        <v>70</v>
      </c>
      <c r="I87" s="8">
        <v>1</v>
      </c>
      <c r="J87" s="8" t="s">
        <v>785</v>
      </c>
      <c r="K87" s="34"/>
      <c r="L87" s="42"/>
    </row>
    <row r="88" spans="2:12" x14ac:dyDescent="0.25">
      <c r="B88" s="31">
        <v>89</v>
      </c>
      <c r="C88" s="8" t="s">
        <v>786</v>
      </c>
      <c r="D88" s="8" t="s">
        <v>80</v>
      </c>
      <c r="E88" s="8" t="s">
        <v>25</v>
      </c>
      <c r="F88" s="8">
        <v>440406</v>
      </c>
      <c r="G88" s="8" t="s">
        <v>70</v>
      </c>
      <c r="H88" s="8" t="s">
        <v>70</v>
      </c>
      <c r="I88" s="8">
        <v>1</v>
      </c>
      <c r="J88" s="8" t="s">
        <v>372</v>
      </c>
      <c r="K88" s="34"/>
      <c r="L88" s="42"/>
    </row>
    <row r="89" spans="2:12" x14ac:dyDescent="0.25">
      <c r="B89" s="31">
        <v>90</v>
      </c>
      <c r="C89" s="8" t="s">
        <v>762</v>
      </c>
      <c r="D89" s="8" t="s">
        <v>80</v>
      </c>
      <c r="E89" s="8" t="s">
        <v>19</v>
      </c>
      <c r="F89" s="8" t="s">
        <v>787</v>
      </c>
      <c r="G89" s="8" t="s">
        <v>70</v>
      </c>
      <c r="H89" s="8" t="s">
        <v>70</v>
      </c>
      <c r="I89" s="8">
        <v>1</v>
      </c>
      <c r="J89" s="8" t="s">
        <v>394</v>
      </c>
      <c r="K89" s="34"/>
      <c r="L89" s="42"/>
    </row>
    <row r="90" spans="2:12" x14ac:dyDescent="0.25">
      <c r="K90" s="42"/>
      <c r="L90" s="42"/>
    </row>
    <row r="93" spans="2:12" x14ac:dyDescent="0.25">
      <c r="C93" s="55"/>
    </row>
  </sheetData>
  <sortState xmlns:xlrd2="http://schemas.microsoft.com/office/spreadsheetml/2017/richdata2" ref="B4:K83">
    <sortCondition ref="C4"/>
  </sortState>
  <mergeCells count="8">
    <mergeCell ref="B2:K2"/>
    <mergeCell ref="C35:C36"/>
    <mergeCell ref="D35:D36"/>
    <mergeCell ref="E35:E36"/>
    <mergeCell ref="G35:G36"/>
    <mergeCell ref="H35:H36"/>
    <mergeCell ref="I35:I36"/>
    <mergeCell ref="J35:J36"/>
  </mergeCells>
  <phoneticPr fontId="9" type="noConversion"/>
  <pageMargins left="0.7" right="0.7" top="0.75" bottom="0.75" header="0.3" footer="0.3"/>
  <pageSetup orientation="landscape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P29"/>
  <sheetViews>
    <sheetView topLeftCell="M1" workbookViewId="0">
      <selection activeCell="A2" sqref="A2:J2"/>
    </sheetView>
  </sheetViews>
  <sheetFormatPr baseColWidth="10" defaultRowHeight="15" x14ac:dyDescent="0.25"/>
  <cols>
    <col min="1" max="1" width="3.140625" customWidth="1"/>
    <col min="2" max="2" width="22" customWidth="1"/>
    <col min="3" max="3" width="22.140625" customWidth="1"/>
    <col min="4" max="4" width="17.42578125" customWidth="1"/>
    <col min="8" max="8" width="5.28515625" customWidth="1"/>
  </cols>
  <sheetData>
    <row r="2" spans="1:13" x14ac:dyDescent="0.25">
      <c r="A2" s="87" t="s">
        <v>801</v>
      </c>
      <c r="B2" s="88"/>
      <c r="C2" s="88"/>
      <c r="D2" s="88"/>
      <c r="E2" s="88"/>
      <c r="F2" s="88"/>
      <c r="G2" s="88"/>
      <c r="H2" s="88"/>
      <c r="I2" s="88"/>
      <c r="J2" s="88"/>
    </row>
    <row r="3" spans="1:13" ht="24" x14ac:dyDescent="0.25">
      <c r="A3" s="9" t="s">
        <v>1</v>
      </c>
      <c r="B3" s="10" t="s">
        <v>68</v>
      </c>
      <c r="C3" s="10" t="s">
        <v>69</v>
      </c>
      <c r="D3" s="10" t="s">
        <v>0</v>
      </c>
      <c r="E3" s="10" t="s">
        <v>91</v>
      </c>
      <c r="F3" s="10" t="s">
        <v>67</v>
      </c>
      <c r="G3" s="10" t="s">
        <v>5</v>
      </c>
      <c r="H3" s="10" t="s">
        <v>31</v>
      </c>
      <c r="I3" s="10" t="s">
        <v>65</v>
      </c>
      <c r="J3" s="10" t="s">
        <v>122</v>
      </c>
    </row>
    <row r="4" spans="1:13" x14ac:dyDescent="0.25">
      <c r="A4" s="2">
        <v>1</v>
      </c>
      <c r="B4" s="34" t="s">
        <v>125</v>
      </c>
      <c r="C4" s="34" t="s">
        <v>126</v>
      </c>
      <c r="D4" s="47" t="s">
        <v>123</v>
      </c>
      <c r="E4" s="34" t="s">
        <v>36</v>
      </c>
      <c r="F4" s="34" t="s">
        <v>123</v>
      </c>
      <c r="G4" s="34" t="s">
        <v>123</v>
      </c>
      <c r="H4" s="34">
        <v>1</v>
      </c>
      <c r="I4" s="34" t="s">
        <v>117</v>
      </c>
      <c r="J4" s="34" t="s">
        <v>137</v>
      </c>
      <c r="K4" s="42"/>
    </row>
    <row r="5" spans="1:13" x14ac:dyDescent="0.25">
      <c r="A5" s="2">
        <v>2</v>
      </c>
      <c r="B5" s="8" t="s">
        <v>264</v>
      </c>
      <c r="C5" s="8" t="s">
        <v>403</v>
      </c>
      <c r="D5" s="22" t="s">
        <v>124</v>
      </c>
      <c r="E5" s="8" t="s">
        <v>124</v>
      </c>
      <c r="F5" s="8" t="s">
        <v>124</v>
      </c>
      <c r="G5" s="8" t="s">
        <v>124</v>
      </c>
      <c r="H5" s="8">
        <v>1</v>
      </c>
      <c r="I5" s="8" t="s">
        <v>265</v>
      </c>
      <c r="J5" s="34" t="s">
        <v>137</v>
      </c>
      <c r="K5" s="42"/>
    </row>
    <row r="6" spans="1:13" x14ac:dyDescent="0.25">
      <c r="A6" s="2">
        <v>3</v>
      </c>
      <c r="B6" s="8" t="s">
        <v>266</v>
      </c>
      <c r="C6" s="8" t="s">
        <v>267</v>
      </c>
      <c r="D6" s="22" t="s">
        <v>123</v>
      </c>
      <c r="E6" s="8" t="s">
        <v>124</v>
      </c>
      <c r="F6" s="8" t="s">
        <v>124</v>
      </c>
      <c r="G6" s="8" t="s">
        <v>124</v>
      </c>
      <c r="H6" s="8" t="s">
        <v>124</v>
      </c>
      <c r="I6" s="8" t="s">
        <v>268</v>
      </c>
      <c r="J6" s="34" t="s">
        <v>137</v>
      </c>
      <c r="K6" s="42"/>
    </row>
    <row r="7" spans="1:13" x14ac:dyDescent="0.25">
      <c r="A7" s="2">
        <v>4</v>
      </c>
      <c r="B7" s="8" t="s">
        <v>269</v>
      </c>
      <c r="C7" s="8" t="s">
        <v>395</v>
      </c>
      <c r="D7" s="22"/>
      <c r="E7" s="8" t="s">
        <v>270</v>
      </c>
      <c r="F7" s="13">
        <v>43436</v>
      </c>
      <c r="G7" s="13">
        <v>45262</v>
      </c>
      <c r="H7" s="8">
        <v>1</v>
      </c>
      <c r="I7" s="8" t="s">
        <v>271</v>
      </c>
      <c r="J7" s="34" t="s">
        <v>137</v>
      </c>
      <c r="K7" s="42"/>
      <c r="M7" t="s">
        <v>343</v>
      </c>
    </row>
    <row r="8" spans="1:13" x14ac:dyDescent="0.25">
      <c r="A8" s="2">
        <v>6</v>
      </c>
      <c r="B8" s="34" t="s">
        <v>90</v>
      </c>
      <c r="C8" s="34" t="s">
        <v>80</v>
      </c>
      <c r="D8" s="47" t="s">
        <v>66</v>
      </c>
      <c r="E8" s="34">
        <v>102826653</v>
      </c>
      <c r="F8" s="34"/>
      <c r="G8" s="34"/>
      <c r="H8" s="34">
        <v>1</v>
      </c>
      <c r="I8" s="34" t="s">
        <v>71</v>
      </c>
      <c r="J8" s="34"/>
      <c r="K8" s="42"/>
    </row>
    <row r="9" spans="1:13" x14ac:dyDescent="0.25">
      <c r="A9" s="2">
        <v>7</v>
      </c>
      <c r="B9" s="34" t="s">
        <v>336</v>
      </c>
      <c r="C9" s="34" t="s">
        <v>345</v>
      </c>
      <c r="D9" s="47" t="s">
        <v>123</v>
      </c>
      <c r="E9" s="34">
        <v>20</v>
      </c>
      <c r="F9" s="34" t="s">
        <v>124</v>
      </c>
      <c r="G9" s="34" t="s">
        <v>124</v>
      </c>
      <c r="H9" s="34">
        <v>1</v>
      </c>
      <c r="I9" s="34" t="s">
        <v>268</v>
      </c>
      <c r="J9" s="34" t="s">
        <v>137</v>
      </c>
      <c r="K9" s="42"/>
    </row>
    <row r="10" spans="1:13" x14ac:dyDescent="0.25">
      <c r="A10" s="2">
        <v>8</v>
      </c>
      <c r="B10" s="34" t="s">
        <v>127</v>
      </c>
      <c r="C10" s="34" t="s">
        <v>128</v>
      </c>
      <c r="D10" s="47" t="s">
        <v>123</v>
      </c>
      <c r="E10" s="34" t="s">
        <v>123</v>
      </c>
      <c r="F10" s="34" t="s">
        <v>123</v>
      </c>
      <c r="G10" s="34" t="s">
        <v>123</v>
      </c>
      <c r="H10" s="34">
        <v>1</v>
      </c>
      <c r="I10" s="34" t="s">
        <v>129</v>
      </c>
      <c r="J10" s="34" t="s">
        <v>137</v>
      </c>
      <c r="K10" s="42"/>
    </row>
    <row r="11" spans="1:13" x14ac:dyDescent="0.25">
      <c r="A11" s="2">
        <v>9</v>
      </c>
      <c r="B11" s="34" t="s">
        <v>127</v>
      </c>
      <c r="C11" s="34" t="s">
        <v>136</v>
      </c>
      <c r="D11" s="47" t="s">
        <v>123</v>
      </c>
      <c r="E11" s="34" t="s">
        <v>123</v>
      </c>
      <c r="F11" s="34" t="s">
        <v>123</v>
      </c>
      <c r="G11" s="34" t="s">
        <v>123</v>
      </c>
      <c r="H11" s="34">
        <v>1</v>
      </c>
      <c r="I11" s="34" t="s">
        <v>72</v>
      </c>
      <c r="J11" s="34" t="s">
        <v>137</v>
      </c>
      <c r="K11" s="42"/>
    </row>
    <row r="12" spans="1:13" x14ac:dyDescent="0.25">
      <c r="A12" s="2">
        <v>10</v>
      </c>
      <c r="B12" s="34" t="s">
        <v>116</v>
      </c>
      <c r="C12" s="34" t="s">
        <v>74</v>
      </c>
      <c r="D12" s="47" t="s">
        <v>66</v>
      </c>
      <c r="E12" s="34">
        <v>102508921</v>
      </c>
      <c r="F12" s="34" t="s">
        <v>70</v>
      </c>
      <c r="G12" s="34" t="s">
        <v>70</v>
      </c>
      <c r="H12" s="34">
        <v>1</v>
      </c>
      <c r="I12" s="34" t="s">
        <v>117</v>
      </c>
      <c r="J12" s="34"/>
      <c r="K12" s="42"/>
    </row>
    <row r="13" spans="1:13" x14ac:dyDescent="0.25">
      <c r="A13" s="2">
        <v>11</v>
      </c>
      <c r="B13" s="34" t="s">
        <v>116</v>
      </c>
      <c r="C13" s="34" t="s">
        <v>74</v>
      </c>
      <c r="D13" s="47" t="s">
        <v>66</v>
      </c>
      <c r="E13" s="34">
        <v>102659879</v>
      </c>
      <c r="F13" s="34" t="s">
        <v>70</v>
      </c>
      <c r="G13" s="34" t="s">
        <v>70</v>
      </c>
      <c r="H13" s="34">
        <v>1</v>
      </c>
      <c r="I13" s="34" t="s">
        <v>117</v>
      </c>
      <c r="J13" s="34"/>
      <c r="K13" s="42"/>
    </row>
    <row r="14" spans="1:13" x14ac:dyDescent="0.25">
      <c r="A14" s="2">
        <v>12</v>
      </c>
      <c r="B14" s="8" t="s">
        <v>133</v>
      </c>
      <c r="C14" s="8" t="s">
        <v>134</v>
      </c>
      <c r="D14" s="22" t="s">
        <v>123</v>
      </c>
      <c r="E14" s="8" t="s">
        <v>123</v>
      </c>
      <c r="F14" s="8" t="s">
        <v>123</v>
      </c>
      <c r="G14" s="8" t="s">
        <v>123</v>
      </c>
      <c r="H14" s="8">
        <v>1</v>
      </c>
      <c r="I14" s="8" t="s">
        <v>88</v>
      </c>
      <c r="J14" s="34" t="s">
        <v>137</v>
      </c>
      <c r="K14" s="42"/>
    </row>
    <row r="15" spans="1:13" x14ac:dyDescent="0.25">
      <c r="A15" s="2">
        <v>13</v>
      </c>
      <c r="B15" s="8" t="s">
        <v>131</v>
      </c>
      <c r="C15" s="8" t="s">
        <v>132</v>
      </c>
      <c r="D15" s="22" t="s">
        <v>123</v>
      </c>
      <c r="E15" s="8" t="s">
        <v>124</v>
      </c>
      <c r="F15" s="8" t="s">
        <v>123</v>
      </c>
      <c r="G15" s="8" t="s">
        <v>123</v>
      </c>
      <c r="H15" s="8">
        <v>1</v>
      </c>
      <c r="I15" s="8" t="s">
        <v>89</v>
      </c>
      <c r="J15" s="34" t="s">
        <v>137</v>
      </c>
      <c r="K15" s="42"/>
    </row>
    <row r="16" spans="1:13" x14ac:dyDescent="0.25">
      <c r="A16" s="2">
        <v>14</v>
      </c>
      <c r="B16" s="6" t="s">
        <v>337</v>
      </c>
      <c r="C16" s="6" t="s">
        <v>338</v>
      </c>
      <c r="D16" s="16" t="s">
        <v>339</v>
      </c>
      <c r="E16" s="6" t="s">
        <v>341</v>
      </c>
      <c r="F16" s="6" t="s">
        <v>70</v>
      </c>
      <c r="G16" s="6" t="s">
        <v>340</v>
      </c>
      <c r="H16" s="6">
        <v>1</v>
      </c>
      <c r="I16" s="6" t="s">
        <v>342</v>
      </c>
      <c r="J16" s="20"/>
      <c r="K16" s="42"/>
    </row>
    <row r="17" spans="1:16" x14ac:dyDescent="0.25">
      <c r="A17" s="2">
        <v>15</v>
      </c>
      <c r="B17" s="8" t="s">
        <v>365</v>
      </c>
      <c r="C17" s="8"/>
      <c r="D17" s="8" t="s">
        <v>366</v>
      </c>
      <c r="E17" s="8">
        <v>6185724</v>
      </c>
      <c r="F17" s="8" t="s">
        <v>70</v>
      </c>
      <c r="G17" s="8" t="s">
        <v>70</v>
      </c>
      <c r="H17" s="6">
        <v>1</v>
      </c>
      <c r="I17" s="8" t="s">
        <v>372</v>
      </c>
      <c r="J17" s="34"/>
      <c r="K17" s="42"/>
    </row>
    <row r="18" spans="1:16" x14ac:dyDescent="0.25">
      <c r="A18" s="2">
        <v>16</v>
      </c>
      <c r="B18" s="8" t="s">
        <v>367</v>
      </c>
      <c r="C18" s="8" t="s">
        <v>368</v>
      </c>
      <c r="D18" s="8" t="s">
        <v>369</v>
      </c>
      <c r="E18" s="8">
        <v>4305475</v>
      </c>
      <c r="F18" s="8"/>
      <c r="G18" s="13">
        <v>47361</v>
      </c>
      <c r="H18" s="8">
        <v>1</v>
      </c>
      <c r="I18" s="8" t="s">
        <v>372</v>
      </c>
      <c r="J18" s="34"/>
      <c r="K18" s="42"/>
    </row>
    <row r="19" spans="1:16" x14ac:dyDescent="0.25">
      <c r="A19" s="2">
        <v>17</v>
      </c>
      <c r="B19" s="8" t="s">
        <v>401</v>
      </c>
      <c r="C19" s="8" t="s">
        <v>363</v>
      </c>
      <c r="D19" s="8" t="s">
        <v>402</v>
      </c>
      <c r="E19" s="8">
        <v>111818</v>
      </c>
      <c r="F19" s="8"/>
      <c r="G19" s="8"/>
      <c r="H19" s="8">
        <v>1</v>
      </c>
      <c r="I19" s="8" t="s">
        <v>372</v>
      </c>
      <c r="J19" s="34"/>
      <c r="K19" s="42"/>
    </row>
    <row r="20" spans="1:16" x14ac:dyDescent="0.25">
      <c r="A20" s="2">
        <v>18</v>
      </c>
      <c r="B20" s="8" t="s">
        <v>748</v>
      </c>
      <c r="C20" s="8"/>
      <c r="D20" s="8"/>
      <c r="E20" s="8"/>
      <c r="F20" s="8" t="s">
        <v>70</v>
      </c>
      <c r="G20" s="8" t="s">
        <v>70</v>
      </c>
      <c r="H20" s="8">
        <v>1</v>
      </c>
      <c r="I20" s="8"/>
      <c r="J20" s="34"/>
      <c r="K20" s="42"/>
    </row>
    <row r="21" spans="1:16" x14ac:dyDescent="0.25">
      <c r="A21" s="2">
        <v>19</v>
      </c>
      <c r="B21" s="8" t="s">
        <v>749</v>
      </c>
      <c r="C21" s="8"/>
      <c r="D21" s="8"/>
      <c r="E21" s="8"/>
      <c r="F21" s="8" t="s">
        <v>70</v>
      </c>
      <c r="G21" s="8" t="s">
        <v>70</v>
      </c>
      <c r="H21" s="8">
        <v>1</v>
      </c>
      <c r="I21" s="8"/>
      <c r="J21" s="34"/>
      <c r="K21" s="42"/>
    </row>
    <row r="22" spans="1:16" x14ac:dyDescent="0.25">
      <c r="A22" s="2">
        <v>20</v>
      </c>
      <c r="B22" s="8" t="s">
        <v>750</v>
      </c>
      <c r="C22" s="8" t="s">
        <v>751</v>
      </c>
      <c r="D22" s="8"/>
      <c r="E22" s="8"/>
      <c r="F22" s="8" t="s">
        <v>70</v>
      </c>
      <c r="G22" s="8" t="s">
        <v>70</v>
      </c>
      <c r="H22" s="8">
        <v>1</v>
      </c>
      <c r="I22" s="8"/>
      <c r="J22" s="34"/>
      <c r="K22" s="42"/>
    </row>
    <row r="23" spans="1:16" x14ac:dyDescent="0.25">
      <c r="A23" s="2">
        <v>21</v>
      </c>
      <c r="B23" s="8" t="s">
        <v>746</v>
      </c>
      <c r="C23" s="8" t="s">
        <v>772</v>
      </c>
      <c r="D23" s="8"/>
      <c r="E23" s="8"/>
      <c r="F23" s="8"/>
      <c r="G23" s="8"/>
      <c r="H23" s="8">
        <v>1</v>
      </c>
      <c r="I23" s="8" t="s">
        <v>773</v>
      </c>
      <c r="J23" s="34"/>
      <c r="K23" s="42"/>
    </row>
    <row r="24" spans="1:16" x14ac:dyDescent="0.25">
      <c r="A24" s="2">
        <v>22</v>
      </c>
      <c r="B24" s="8" t="s">
        <v>774</v>
      </c>
      <c r="C24" s="8"/>
      <c r="D24" s="8" t="s">
        <v>408</v>
      </c>
      <c r="E24" s="8" t="s">
        <v>775</v>
      </c>
      <c r="F24" s="8"/>
      <c r="G24" s="54">
        <v>46905</v>
      </c>
      <c r="H24" s="8">
        <v>1</v>
      </c>
      <c r="I24" s="8" t="s">
        <v>357</v>
      </c>
      <c r="J24" s="34"/>
      <c r="K24" s="42"/>
    </row>
    <row r="25" spans="1:16" x14ac:dyDescent="0.25">
      <c r="A25" s="2">
        <v>23</v>
      </c>
      <c r="B25" s="8" t="s">
        <v>776</v>
      </c>
      <c r="C25" s="8" t="s">
        <v>777</v>
      </c>
      <c r="D25" s="8"/>
      <c r="E25" s="8"/>
      <c r="F25" s="8" t="s">
        <v>70</v>
      </c>
      <c r="G25" s="8" t="s">
        <v>70</v>
      </c>
      <c r="H25" s="8">
        <v>1</v>
      </c>
      <c r="I25" s="8" t="s">
        <v>773</v>
      </c>
      <c r="J25" s="34"/>
      <c r="K25" s="42"/>
    </row>
    <row r="26" spans="1:16" x14ac:dyDescent="0.25">
      <c r="A26" s="2">
        <v>24</v>
      </c>
      <c r="B26" s="8" t="s">
        <v>778</v>
      </c>
      <c r="C26" s="8" t="s">
        <v>777</v>
      </c>
      <c r="D26" s="8"/>
      <c r="E26" s="8"/>
      <c r="F26" s="8" t="s">
        <v>70</v>
      </c>
      <c r="G26" s="8" t="s">
        <v>70</v>
      </c>
      <c r="H26" s="8">
        <v>1</v>
      </c>
      <c r="I26" s="8" t="s">
        <v>357</v>
      </c>
      <c r="J26" s="34"/>
      <c r="K26" s="42"/>
      <c r="P26" t="s">
        <v>355</v>
      </c>
    </row>
    <row r="27" spans="1:16" x14ac:dyDescent="0.25">
      <c r="A27" s="2">
        <v>25</v>
      </c>
      <c r="B27" s="8" t="s">
        <v>776</v>
      </c>
      <c r="C27" s="8" t="s">
        <v>779</v>
      </c>
      <c r="D27" s="8"/>
      <c r="E27" s="8"/>
      <c r="F27" s="8" t="s">
        <v>70</v>
      </c>
      <c r="G27" s="8" t="s">
        <v>70</v>
      </c>
      <c r="H27" s="8">
        <v>1</v>
      </c>
      <c r="I27" s="8" t="s">
        <v>780</v>
      </c>
      <c r="J27" s="34"/>
    </row>
    <row r="28" spans="1:16" x14ac:dyDescent="0.25">
      <c r="A28" s="2">
        <v>26</v>
      </c>
      <c r="B28" s="8" t="s">
        <v>776</v>
      </c>
      <c r="C28" s="8" t="s">
        <v>781</v>
      </c>
      <c r="D28" s="8"/>
      <c r="E28" s="8"/>
      <c r="F28" s="8" t="s">
        <v>70</v>
      </c>
      <c r="G28" s="8" t="s">
        <v>70</v>
      </c>
      <c r="H28" s="8">
        <v>1</v>
      </c>
      <c r="I28" s="8" t="s">
        <v>780</v>
      </c>
      <c r="J28" s="34"/>
    </row>
    <row r="29" spans="1:16" x14ac:dyDescent="0.25">
      <c r="A29" s="2">
        <v>27</v>
      </c>
      <c r="B29" s="5"/>
    </row>
  </sheetData>
  <sortState xmlns:xlrd2="http://schemas.microsoft.com/office/spreadsheetml/2017/richdata2" ref="A4:J32">
    <sortCondition ref="B20"/>
  </sortState>
  <mergeCells count="1">
    <mergeCell ref="A2:J2"/>
  </mergeCells>
  <pageMargins left="0.7" right="0.7" top="0.75" bottom="0.75" header="0.3" footer="0.3"/>
  <pageSetup orientation="landscape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71"/>
  <sheetViews>
    <sheetView workbookViewId="0">
      <selection activeCell="M12" sqref="M12"/>
    </sheetView>
  </sheetViews>
  <sheetFormatPr baseColWidth="10" defaultRowHeight="15" x14ac:dyDescent="0.25"/>
  <cols>
    <col min="1" max="1" width="3.140625" customWidth="1"/>
    <col min="2" max="2" width="17.5703125" customWidth="1"/>
    <col min="3" max="3" width="7.42578125" customWidth="1"/>
    <col min="4" max="4" width="19.7109375" customWidth="1"/>
    <col min="5" max="5" width="15.5703125" customWidth="1"/>
  </cols>
  <sheetData>
    <row r="1" spans="1:11" x14ac:dyDescent="0.25">
      <c r="C1" t="s">
        <v>343</v>
      </c>
    </row>
    <row r="2" spans="1:11" x14ac:dyDescent="0.25">
      <c r="A2" s="80" t="s">
        <v>802</v>
      </c>
      <c r="B2" s="81"/>
      <c r="C2" s="81"/>
      <c r="D2" s="81"/>
      <c r="E2" s="81"/>
      <c r="F2" s="81"/>
      <c r="G2" s="81"/>
      <c r="H2" s="81"/>
      <c r="I2" s="81"/>
      <c r="J2" s="82"/>
    </row>
    <row r="3" spans="1:11" ht="24" x14ac:dyDescent="0.25">
      <c r="A3" s="9" t="s">
        <v>1</v>
      </c>
      <c r="B3" s="10" t="s">
        <v>68</v>
      </c>
      <c r="C3" s="10" t="s">
        <v>69</v>
      </c>
      <c r="D3" s="10" t="s">
        <v>0</v>
      </c>
      <c r="E3" s="10" t="s">
        <v>4</v>
      </c>
      <c r="F3" s="10" t="s">
        <v>67</v>
      </c>
      <c r="G3" s="10" t="s">
        <v>5</v>
      </c>
      <c r="H3" s="10" t="s">
        <v>31</v>
      </c>
      <c r="I3" s="10" t="s">
        <v>65</v>
      </c>
      <c r="J3" s="12" t="s">
        <v>334</v>
      </c>
    </row>
    <row r="4" spans="1:11" ht="14.1" customHeight="1" x14ac:dyDescent="0.25">
      <c r="A4" s="15">
        <v>1</v>
      </c>
      <c r="B4" s="22" t="s">
        <v>109</v>
      </c>
      <c r="C4" s="22" t="s">
        <v>219</v>
      </c>
      <c r="D4" s="16" t="s">
        <v>96</v>
      </c>
      <c r="E4" s="16" t="s">
        <v>38</v>
      </c>
      <c r="F4" s="16" t="s">
        <v>70</v>
      </c>
      <c r="G4" s="17">
        <v>45535</v>
      </c>
      <c r="H4" s="16">
        <v>2</v>
      </c>
      <c r="I4" s="16" t="s">
        <v>10</v>
      </c>
      <c r="J4" s="16" t="s">
        <v>137</v>
      </c>
      <c r="K4" s="45"/>
    </row>
    <row r="5" spans="1:11" ht="14.1" customHeight="1" x14ac:dyDescent="0.25">
      <c r="A5" s="15">
        <v>2</v>
      </c>
      <c r="B5" s="22" t="s">
        <v>261</v>
      </c>
      <c r="C5" s="22" t="s">
        <v>74</v>
      </c>
      <c r="D5" s="16" t="s">
        <v>34</v>
      </c>
      <c r="E5" s="16" t="s">
        <v>35</v>
      </c>
      <c r="F5" s="16" t="s">
        <v>70</v>
      </c>
      <c r="G5" s="17">
        <v>42303</v>
      </c>
      <c r="H5" s="16">
        <v>1</v>
      </c>
      <c r="I5" s="16" t="s">
        <v>89</v>
      </c>
      <c r="J5" s="16"/>
      <c r="K5" s="42"/>
    </row>
    <row r="6" spans="1:11" ht="14.1" customHeight="1" x14ac:dyDescent="0.25">
      <c r="A6" s="15">
        <v>3</v>
      </c>
      <c r="B6" s="22" t="s">
        <v>431</v>
      </c>
      <c r="C6" s="22"/>
      <c r="D6" s="16" t="s">
        <v>19</v>
      </c>
      <c r="E6" s="16" t="s">
        <v>41</v>
      </c>
      <c r="F6" s="16"/>
      <c r="G6" s="17"/>
      <c r="H6" s="16">
        <v>1</v>
      </c>
      <c r="I6" s="16" t="s">
        <v>414</v>
      </c>
      <c r="J6" s="16"/>
      <c r="K6" s="42"/>
    </row>
    <row r="7" spans="1:11" ht="14.1" customHeight="1" x14ac:dyDescent="0.25">
      <c r="A7" s="15">
        <v>4</v>
      </c>
      <c r="B7" s="22" t="s">
        <v>431</v>
      </c>
      <c r="C7" s="22" t="s">
        <v>74</v>
      </c>
      <c r="D7" s="16" t="s">
        <v>96</v>
      </c>
      <c r="E7" s="16" t="s">
        <v>104</v>
      </c>
      <c r="F7" s="16" t="s">
        <v>70</v>
      </c>
      <c r="G7" s="17">
        <v>45322</v>
      </c>
      <c r="H7" s="16">
        <v>1</v>
      </c>
      <c r="I7" s="16" t="s">
        <v>10</v>
      </c>
      <c r="J7" s="16"/>
      <c r="K7" s="42"/>
    </row>
    <row r="8" spans="1:11" ht="14.1" customHeight="1" x14ac:dyDescent="0.25">
      <c r="A8" s="15">
        <v>5</v>
      </c>
      <c r="B8" s="22" t="s">
        <v>86</v>
      </c>
      <c r="C8" s="22" t="s">
        <v>219</v>
      </c>
      <c r="D8" s="16" t="s">
        <v>8</v>
      </c>
      <c r="E8" s="16">
        <v>91780</v>
      </c>
      <c r="F8" s="16" t="s">
        <v>70</v>
      </c>
      <c r="G8" s="17">
        <v>44019</v>
      </c>
      <c r="H8" s="16">
        <v>1</v>
      </c>
      <c r="I8" s="16" t="s">
        <v>89</v>
      </c>
      <c r="J8" s="16"/>
      <c r="K8" s="42"/>
    </row>
    <row r="9" spans="1:11" ht="14.1" customHeight="1" x14ac:dyDescent="0.25">
      <c r="A9" s="15">
        <v>6</v>
      </c>
      <c r="B9" s="22" t="s">
        <v>112</v>
      </c>
      <c r="C9" s="22" t="s">
        <v>74</v>
      </c>
      <c r="D9" s="16" t="s">
        <v>13</v>
      </c>
      <c r="E9" s="16">
        <v>15769902</v>
      </c>
      <c r="F9" s="16" t="s">
        <v>70</v>
      </c>
      <c r="G9" s="18">
        <v>43739</v>
      </c>
      <c r="H9" s="16">
        <v>2</v>
      </c>
      <c r="I9" s="16" t="s">
        <v>28</v>
      </c>
      <c r="J9" s="16" t="s">
        <v>137</v>
      </c>
      <c r="K9" s="42"/>
    </row>
    <row r="10" spans="1:11" ht="14.1" customHeight="1" x14ac:dyDescent="0.25">
      <c r="A10" s="15">
        <v>7</v>
      </c>
      <c r="B10" s="22" t="s">
        <v>84</v>
      </c>
      <c r="C10" s="22" t="s">
        <v>74</v>
      </c>
      <c r="D10" s="16" t="s">
        <v>85</v>
      </c>
      <c r="E10" s="16" t="s">
        <v>438</v>
      </c>
      <c r="F10" s="16"/>
      <c r="G10" s="17"/>
      <c r="H10" s="16">
        <v>1</v>
      </c>
      <c r="I10" s="16" t="s">
        <v>372</v>
      </c>
      <c r="J10" s="16"/>
      <c r="K10" s="42"/>
    </row>
    <row r="11" spans="1:11" ht="14.1" customHeight="1" x14ac:dyDescent="0.25">
      <c r="A11" s="15">
        <v>8</v>
      </c>
      <c r="B11" s="22" t="s">
        <v>114</v>
      </c>
      <c r="C11" s="22" t="s">
        <v>74</v>
      </c>
      <c r="D11" s="16" t="s">
        <v>76</v>
      </c>
      <c r="E11" s="16" t="s">
        <v>44</v>
      </c>
      <c r="F11" s="16" t="s">
        <v>70</v>
      </c>
      <c r="G11" s="17">
        <v>45565</v>
      </c>
      <c r="H11" s="16">
        <v>1</v>
      </c>
      <c r="I11" s="16" t="s">
        <v>89</v>
      </c>
      <c r="J11" s="16" t="s">
        <v>137</v>
      </c>
      <c r="K11" s="42"/>
    </row>
    <row r="12" spans="1:11" ht="14.1" customHeight="1" x14ac:dyDescent="0.25">
      <c r="A12" s="15">
        <v>9</v>
      </c>
      <c r="B12" s="47" t="s">
        <v>106</v>
      </c>
      <c r="C12" s="47" t="s">
        <v>219</v>
      </c>
      <c r="D12" s="30" t="s">
        <v>76</v>
      </c>
      <c r="E12" s="30" t="s">
        <v>40</v>
      </c>
      <c r="F12" s="30" t="s">
        <v>70</v>
      </c>
      <c r="G12" s="52">
        <v>45322</v>
      </c>
      <c r="H12" s="30">
        <v>1</v>
      </c>
      <c r="I12" s="30" t="s">
        <v>10</v>
      </c>
      <c r="J12" s="30" t="s">
        <v>137</v>
      </c>
      <c r="K12" s="42"/>
    </row>
    <row r="13" spans="1:11" ht="14.1" customHeight="1" x14ac:dyDescent="0.25">
      <c r="A13" s="15">
        <v>10</v>
      </c>
      <c r="B13" s="47" t="s">
        <v>106</v>
      </c>
      <c r="C13" s="47" t="s">
        <v>219</v>
      </c>
      <c r="D13" s="30" t="s">
        <v>107</v>
      </c>
      <c r="E13" s="30" t="s">
        <v>39</v>
      </c>
      <c r="F13" s="30" t="s">
        <v>70</v>
      </c>
      <c r="G13" s="52">
        <v>45230</v>
      </c>
      <c r="H13" s="30">
        <v>1</v>
      </c>
      <c r="I13" s="30" t="s">
        <v>417</v>
      </c>
      <c r="J13" s="30" t="s">
        <v>137</v>
      </c>
      <c r="K13" s="42"/>
    </row>
    <row r="14" spans="1:11" ht="14.1" customHeight="1" x14ac:dyDescent="0.25">
      <c r="A14" s="15">
        <v>12</v>
      </c>
      <c r="B14" s="47" t="s">
        <v>106</v>
      </c>
      <c r="C14" s="47" t="s">
        <v>219</v>
      </c>
      <c r="D14" s="30" t="s">
        <v>107</v>
      </c>
      <c r="E14" s="30"/>
      <c r="F14" s="30"/>
      <c r="G14" s="52"/>
      <c r="H14" s="30">
        <v>1</v>
      </c>
      <c r="I14" s="30" t="s">
        <v>417</v>
      </c>
      <c r="J14" s="30" t="s">
        <v>335</v>
      </c>
      <c r="K14" s="42"/>
    </row>
    <row r="15" spans="1:11" ht="14.1" customHeight="1" x14ac:dyDescent="0.25">
      <c r="A15" s="15">
        <v>13</v>
      </c>
      <c r="B15" s="47" t="s">
        <v>106</v>
      </c>
      <c r="C15" s="47" t="s">
        <v>219</v>
      </c>
      <c r="D15" s="30" t="s">
        <v>107</v>
      </c>
      <c r="E15" s="30" t="s">
        <v>108</v>
      </c>
      <c r="F15" s="30" t="s">
        <v>70</v>
      </c>
      <c r="G15" s="52">
        <v>45626</v>
      </c>
      <c r="H15" s="30">
        <v>1</v>
      </c>
      <c r="I15" s="30" t="s">
        <v>10</v>
      </c>
      <c r="J15" s="30" t="s">
        <v>137</v>
      </c>
      <c r="K15" s="42"/>
    </row>
    <row r="16" spans="1:11" ht="14.1" customHeight="1" x14ac:dyDescent="0.25">
      <c r="A16" s="15">
        <v>14</v>
      </c>
      <c r="B16" s="22" t="s">
        <v>79</v>
      </c>
      <c r="C16" s="22" t="s">
        <v>219</v>
      </c>
      <c r="D16" s="16" t="s">
        <v>73</v>
      </c>
      <c r="E16" s="16" t="s">
        <v>81</v>
      </c>
      <c r="F16" s="17">
        <v>44285</v>
      </c>
      <c r="G16" s="17">
        <v>45015</v>
      </c>
      <c r="H16" s="16">
        <v>2</v>
      </c>
      <c r="I16" s="16" t="s">
        <v>72</v>
      </c>
      <c r="J16" s="16"/>
      <c r="K16" s="42"/>
    </row>
    <row r="17" spans="1:11" ht="14.1" customHeight="1" x14ac:dyDescent="0.25">
      <c r="A17" s="15">
        <v>15</v>
      </c>
      <c r="B17" s="22" t="s">
        <v>79</v>
      </c>
      <c r="C17" s="22" t="s">
        <v>219</v>
      </c>
      <c r="D17" s="16" t="s">
        <v>73</v>
      </c>
      <c r="E17" s="16" t="s">
        <v>82</v>
      </c>
      <c r="F17" s="17">
        <v>44168</v>
      </c>
      <c r="G17" s="17">
        <v>44898</v>
      </c>
      <c r="H17" s="16">
        <v>3</v>
      </c>
      <c r="I17" s="16" t="s">
        <v>72</v>
      </c>
      <c r="J17" s="16"/>
      <c r="K17" s="42"/>
    </row>
    <row r="18" spans="1:11" ht="14.1" customHeight="1" x14ac:dyDescent="0.25">
      <c r="A18" s="15">
        <v>16</v>
      </c>
      <c r="B18" s="22" t="s">
        <v>79</v>
      </c>
      <c r="C18" s="22" t="s">
        <v>83</v>
      </c>
      <c r="D18" s="16" t="s">
        <v>32</v>
      </c>
      <c r="E18" s="16">
        <v>181215</v>
      </c>
      <c r="F18" s="17">
        <v>44168</v>
      </c>
      <c r="G18" s="17">
        <v>44898</v>
      </c>
      <c r="H18" s="16">
        <v>1</v>
      </c>
      <c r="I18" s="16" t="s">
        <v>72</v>
      </c>
      <c r="J18" s="16"/>
      <c r="K18" s="42"/>
    </row>
    <row r="19" spans="1:11" ht="14.1" customHeight="1" x14ac:dyDescent="0.25">
      <c r="A19" s="15">
        <v>17</v>
      </c>
      <c r="B19" s="22" t="s">
        <v>79</v>
      </c>
      <c r="C19" s="22"/>
      <c r="D19" s="16" t="s">
        <v>412</v>
      </c>
      <c r="E19" s="16" t="s">
        <v>413</v>
      </c>
      <c r="F19" s="17"/>
      <c r="G19" s="17"/>
      <c r="H19" s="16">
        <v>1</v>
      </c>
      <c r="I19" s="16" t="s">
        <v>414</v>
      </c>
      <c r="J19" s="16"/>
      <c r="K19" s="42"/>
    </row>
    <row r="20" spans="1:11" ht="14.1" customHeight="1" x14ac:dyDescent="0.25">
      <c r="A20" s="15">
        <v>18</v>
      </c>
      <c r="B20" s="22" t="s">
        <v>79</v>
      </c>
      <c r="C20" s="22" t="s">
        <v>74</v>
      </c>
      <c r="D20" s="16" t="s">
        <v>6</v>
      </c>
      <c r="E20" s="16" t="s">
        <v>462</v>
      </c>
      <c r="F20" s="18">
        <v>43282</v>
      </c>
      <c r="G20" s="18">
        <v>45108</v>
      </c>
      <c r="H20" s="16">
        <v>1</v>
      </c>
      <c r="I20" s="16" t="s">
        <v>72</v>
      </c>
      <c r="J20" s="16"/>
      <c r="K20" s="42"/>
    </row>
    <row r="21" spans="1:11" ht="14.1" customHeight="1" x14ac:dyDescent="0.25">
      <c r="A21" s="15">
        <v>19</v>
      </c>
      <c r="B21" s="47" t="s">
        <v>75</v>
      </c>
      <c r="C21" s="47" t="s">
        <v>74</v>
      </c>
      <c r="D21" s="30" t="s">
        <v>76</v>
      </c>
      <c r="E21" s="30" t="s">
        <v>92</v>
      </c>
      <c r="F21" s="30" t="s">
        <v>70</v>
      </c>
      <c r="G21" s="52">
        <v>45351</v>
      </c>
      <c r="H21" s="30">
        <v>3</v>
      </c>
      <c r="I21" s="30" t="s">
        <v>72</v>
      </c>
      <c r="J21" s="30" t="s">
        <v>137</v>
      </c>
      <c r="K21" s="42"/>
    </row>
    <row r="22" spans="1:11" ht="14.1" customHeight="1" x14ac:dyDescent="0.25">
      <c r="A22" s="15">
        <v>20</v>
      </c>
      <c r="B22" s="47" t="s">
        <v>75</v>
      </c>
      <c r="C22" s="47" t="s">
        <v>74</v>
      </c>
      <c r="D22" s="30" t="s">
        <v>76</v>
      </c>
      <c r="E22" s="30" t="s">
        <v>93</v>
      </c>
      <c r="F22" s="30" t="s">
        <v>70</v>
      </c>
      <c r="G22" s="52">
        <v>44957</v>
      </c>
      <c r="H22" s="30">
        <v>2</v>
      </c>
      <c r="I22" s="30" t="s">
        <v>72</v>
      </c>
      <c r="J22" s="30" t="s">
        <v>137</v>
      </c>
      <c r="K22" s="42"/>
    </row>
    <row r="23" spans="1:11" ht="14.1" customHeight="1" x14ac:dyDescent="0.25">
      <c r="A23" s="15">
        <v>21</v>
      </c>
      <c r="B23" s="47" t="s">
        <v>75</v>
      </c>
      <c r="C23" s="47" t="s">
        <v>219</v>
      </c>
      <c r="D23" s="30" t="s">
        <v>25</v>
      </c>
      <c r="E23" s="30">
        <v>245562</v>
      </c>
      <c r="F23" s="30" t="s">
        <v>70</v>
      </c>
      <c r="G23" s="52">
        <v>44900</v>
      </c>
      <c r="H23" s="30">
        <v>1</v>
      </c>
      <c r="I23" s="30" t="s">
        <v>94</v>
      </c>
      <c r="J23" s="30" t="s">
        <v>137</v>
      </c>
      <c r="K23" s="42"/>
    </row>
    <row r="24" spans="1:11" ht="14.1" customHeight="1" x14ac:dyDescent="0.25">
      <c r="A24" s="15">
        <v>22</v>
      </c>
      <c r="B24" s="47" t="s">
        <v>75</v>
      </c>
      <c r="C24" s="47" t="s">
        <v>77</v>
      </c>
      <c r="D24" s="30" t="s">
        <v>8</v>
      </c>
      <c r="E24" s="30" t="s">
        <v>78</v>
      </c>
      <c r="F24" s="30" t="s">
        <v>70</v>
      </c>
      <c r="G24" s="53">
        <v>43709</v>
      </c>
      <c r="H24" s="30">
        <v>1</v>
      </c>
      <c r="I24" s="30" t="s">
        <v>72</v>
      </c>
      <c r="J24" s="30" t="s">
        <v>137</v>
      </c>
      <c r="K24" s="42"/>
    </row>
    <row r="25" spans="1:11" ht="14.1" customHeight="1" x14ac:dyDescent="0.25">
      <c r="A25" s="15">
        <v>23</v>
      </c>
      <c r="B25" s="22" t="s">
        <v>111</v>
      </c>
      <c r="C25" s="22" t="s">
        <v>219</v>
      </c>
      <c r="D25" s="16" t="s">
        <v>76</v>
      </c>
      <c r="E25" s="16" t="s">
        <v>37</v>
      </c>
      <c r="F25" s="16" t="s">
        <v>70</v>
      </c>
      <c r="G25" s="17">
        <v>45626</v>
      </c>
      <c r="H25" s="16">
        <v>2</v>
      </c>
      <c r="I25" s="16" t="s">
        <v>10</v>
      </c>
      <c r="J25" s="16"/>
      <c r="K25" s="42"/>
    </row>
    <row r="26" spans="1:11" ht="14.1" customHeight="1" x14ac:dyDescent="0.25">
      <c r="A26" s="15">
        <v>24</v>
      </c>
      <c r="B26" s="22" t="s">
        <v>115</v>
      </c>
      <c r="C26" s="22" t="s">
        <v>74</v>
      </c>
      <c r="D26" s="16" t="s">
        <v>87</v>
      </c>
      <c r="E26" s="16">
        <v>6475</v>
      </c>
      <c r="F26" s="18">
        <v>42583</v>
      </c>
      <c r="G26" s="18">
        <v>44378</v>
      </c>
      <c r="H26" s="16">
        <v>1</v>
      </c>
      <c r="I26" s="16" t="s">
        <v>88</v>
      </c>
      <c r="J26" s="16"/>
      <c r="K26" s="42"/>
    </row>
    <row r="27" spans="1:11" ht="14.1" customHeight="1" x14ac:dyDescent="0.25">
      <c r="A27" s="15">
        <v>25</v>
      </c>
      <c r="B27" s="22" t="s">
        <v>97</v>
      </c>
      <c r="C27" s="22" t="s">
        <v>98</v>
      </c>
      <c r="D27" s="16" t="s">
        <v>99</v>
      </c>
      <c r="E27" s="16" t="s">
        <v>100</v>
      </c>
      <c r="F27" s="16" t="s">
        <v>70</v>
      </c>
      <c r="G27" s="17">
        <v>44957</v>
      </c>
      <c r="H27" s="16">
        <v>2</v>
      </c>
      <c r="I27" s="16" t="s">
        <v>28</v>
      </c>
      <c r="J27" s="16" t="s">
        <v>137</v>
      </c>
      <c r="K27" s="42"/>
    </row>
    <row r="28" spans="1:11" ht="14.1" customHeight="1" x14ac:dyDescent="0.25">
      <c r="A28" s="15">
        <v>26</v>
      </c>
      <c r="B28" s="22" t="s">
        <v>95</v>
      </c>
      <c r="C28" s="22" t="s">
        <v>219</v>
      </c>
      <c r="D28" s="16" t="s">
        <v>6</v>
      </c>
      <c r="E28" s="16" t="s">
        <v>113</v>
      </c>
      <c r="F28" s="18" t="s">
        <v>70</v>
      </c>
      <c r="G28" s="18">
        <v>42035</v>
      </c>
      <c r="H28" s="16">
        <v>1</v>
      </c>
      <c r="I28" s="16" t="s">
        <v>72</v>
      </c>
      <c r="J28" s="16" t="s">
        <v>137</v>
      </c>
      <c r="K28" s="42"/>
    </row>
    <row r="29" spans="1:11" ht="14.1" customHeight="1" x14ac:dyDescent="0.25">
      <c r="A29" s="15">
        <v>27</v>
      </c>
      <c r="B29" s="22" t="s">
        <v>95</v>
      </c>
      <c r="C29" s="22" t="s">
        <v>219</v>
      </c>
      <c r="D29" s="16" t="s">
        <v>410</v>
      </c>
      <c r="E29" s="16" t="s">
        <v>113</v>
      </c>
      <c r="F29" s="18"/>
      <c r="G29" s="18"/>
      <c r="H29" s="16">
        <v>1</v>
      </c>
      <c r="I29" s="16" t="s">
        <v>415</v>
      </c>
      <c r="J29" s="16"/>
      <c r="K29" s="42"/>
    </row>
    <row r="30" spans="1:11" ht="14.1" customHeight="1" x14ac:dyDescent="0.25">
      <c r="A30" s="15">
        <v>28</v>
      </c>
      <c r="B30" s="49" t="s">
        <v>95</v>
      </c>
      <c r="C30" s="49" t="s">
        <v>219</v>
      </c>
      <c r="D30" s="25" t="s">
        <v>96</v>
      </c>
      <c r="E30" s="25" t="s">
        <v>21</v>
      </c>
      <c r="F30" s="26" t="s">
        <v>70</v>
      </c>
      <c r="G30" s="26">
        <v>44012</v>
      </c>
      <c r="H30" s="25">
        <v>1</v>
      </c>
      <c r="I30" s="25" t="s">
        <v>72</v>
      </c>
      <c r="J30" s="16" t="s">
        <v>137</v>
      </c>
      <c r="K30" s="42"/>
    </row>
    <row r="31" spans="1:11" ht="14.1" customHeight="1" x14ac:dyDescent="0.25">
      <c r="A31" s="15">
        <v>29</v>
      </c>
      <c r="B31" s="22" t="s">
        <v>443</v>
      </c>
      <c r="C31" s="22" t="s">
        <v>219</v>
      </c>
      <c r="D31" s="16" t="s">
        <v>19</v>
      </c>
      <c r="E31" s="16" t="s">
        <v>44</v>
      </c>
      <c r="F31" s="17"/>
      <c r="G31" s="17"/>
      <c r="H31" s="16">
        <v>1</v>
      </c>
      <c r="I31" s="16" t="s">
        <v>372</v>
      </c>
      <c r="J31" s="16"/>
      <c r="K31" s="42"/>
    </row>
    <row r="32" spans="1:11" ht="14.1" customHeight="1" x14ac:dyDescent="0.25">
      <c r="A32" s="15">
        <v>30</v>
      </c>
      <c r="B32" s="22" t="s">
        <v>409</v>
      </c>
      <c r="C32" s="22" t="s">
        <v>219</v>
      </c>
      <c r="D32" s="16" t="s">
        <v>410</v>
      </c>
      <c r="E32" s="16" t="s">
        <v>411</v>
      </c>
      <c r="F32" s="8"/>
      <c r="G32" s="8"/>
      <c r="H32" s="16">
        <v>1</v>
      </c>
      <c r="I32" s="16" t="s">
        <v>351</v>
      </c>
      <c r="J32" s="8"/>
      <c r="K32" s="45"/>
    </row>
    <row r="33" spans="1:11" ht="14.1" customHeight="1" x14ac:dyDescent="0.25">
      <c r="A33" s="15">
        <v>31</v>
      </c>
      <c r="B33" s="22" t="s">
        <v>173</v>
      </c>
      <c r="C33" s="22" t="s">
        <v>219</v>
      </c>
      <c r="D33" s="16" t="s">
        <v>8</v>
      </c>
      <c r="E33" s="8">
        <v>632012</v>
      </c>
      <c r="F33" s="8"/>
      <c r="G33" s="8"/>
      <c r="H33" s="16">
        <v>1</v>
      </c>
      <c r="I33" s="16" t="s">
        <v>415</v>
      </c>
      <c r="J33" s="8"/>
      <c r="K33" s="42"/>
    </row>
    <row r="34" spans="1:11" ht="14.1" customHeight="1" x14ac:dyDescent="0.25">
      <c r="A34" s="15">
        <v>32</v>
      </c>
      <c r="B34" s="22" t="s">
        <v>221</v>
      </c>
      <c r="C34" s="22" t="s">
        <v>219</v>
      </c>
      <c r="D34" s="16" t="s">
        <v>19</v>
      </c>
      <c r="E34" s="16" t="s">
        <v>430</v>
      </c>
      <c r="F34" s="8"/>
      <c r="G34" s="8"/>
      <c r="H34" s="16">
        <v>1</v>
      </c>
      <c r="I34" s="16" t="s">
        <v>417</v>
      </c>
      <c r="J34" s="8"/>
      <c r="K34" s="42"/>
    </row>
    <row r="35" spans="1:11" ht="14.1" customHeight="1" x14ac:dyDescent="0.25">
      <c r="A35" s="15">
        <v>33</v>
      </c>
      <c r="B35" s="22" t="s">
        <v>432</v>
      </c>
      <c r="C35" s="8"/>
      <c r="D35" s="16" t="s">
        <v>6</v>
      </c>
      <c r="E35" s="16" t="s">
        <v>433</v>
      </c>
      <c r="F35" s="8"/>
      <c r="G35" s="8"/>
      <c r="H35" s="16">
        <v>1</v>
      </c>
      <c r="I35" s="16" t="s">
        <v>414</v>
      </c>
      <c r="J35" s="8"/>
      <c r="K35" s="42"/>
    </row>
    <row r="36" spans="1:11" ht="14.1" customHeight="1" x14ac:dyDescent="0.25">
      <c r="A36" s="15">
        <v>34</v>
      </c>
      <c r="B36" s="22" t="s">
        <v>434</v>
      </c>
      <c r="C36" s="22" t="s">
        <v>139</v>
      </c>
      <c r="D36" s="16" t="s">
        <v>450</v>
      </c>
      <c r="E36" s="8" t="s">
        <v>451</v>
      </c>
      <c r="F36" s="8"/>
      <c r="G36" s="8"/>
      <c r="H36" s="16">
        <v>2</v>
      </c>
      <c r="I36" s="16" t="s">
        <v>414</v>
      </c>
      <c r="J36" s="8"/>
      <c r="K36" s="42"/>
    </row>
    <row r="37" spans="1:11" x14ac:dyDescent="0.25">
      <c r="A37" s="2">
        <v>35</v>
      </c>
      <c r="B37" s="22" t="s">
        <v>434</v>
      </c>
      <c r="C37" s="22" t="s">
        <v>139</v>
      </c>
      <c r="D37" s="16" t="s">
        <v>435</v>
      </c>
      <c r="E37" s="8">
        <v>1102335</v>
      </c>
      <c r="F37" s="8"/>
      <c r="G37" s="8"/>
      <c r="H37" s="16">
        <v>2</v>
      </c>
      <c r="I37" s="16" t="s">
        <v>414</v>
      </c>
      <c r="J37" s="8"/>
      <c r="K37" s="42"/>
    </row>
    <row r="38" spans="1:11" x14ac:dyDescent="0.25">
      <c r="A38" s="2">
        <v>36</v>
      </c>
      <c r="B38" s="22" t="s">
        <v>436</v>
      </c>
      <c r="C38" s="8" t="s">
        <v>139</v>
      </c>
      <c r="D38" s="16" t="s">
        <v>34</v>
      </c>
      <c r="E38" s="16" t="s">
        <v>437</v>
      </c>
      <c r="F38" s="8"/>
      <c r="G38" s="8"/>
      <c r="H38" s="16">
        <v>1</v>
      </c>
      <c r="I38" s="16" t="s">
        <v>393</v>
      </c>
      <c r="J38" s="8"/>
      <c r="K38" s="42"/>
    </row>
    <row r="39" spans="1:11" x14ac:dyDescent="0.25">
      <c r="A39" s="2">
        <v>37</v>
      </c>
      <c r="B39" s="22" t="s">
        <v>439</v>
      </c>
      <c r="C39" s="8"/>
      <c r="D39" s="16" t="s">
        <v>6</v>
      </c>
      <c r="E39" s="16" t="s">
        <v>440</v>
      </c>
      <c r="F39" s="8"/>
      <c r="G39" s="8"/>
      <c r="H39" s="16">
        <v>2</v>
      </c>
      <c r="I39" s="16" t="s">
        <v>357</v>
      </c>
      <c r="J39" s="8"/>
      <c r="K39" s="42"/>
    </row>
    <row r="40" spans="1:11" x14ac:dyDescent="0.25">
      <c r="A40" s="2">
        <v>38</v>
      </c>
      <c r="B40" s="22" t="s">
        <v>441</v>
      </c>
      <c r="C40" s="8" t="s">
        <v>139</v>
      </c>
      <c r="D40" s="16" t="s">
        <v>19</v>
      </c>
      <c r="E40" s="16" t="s">
        <v>442</v>
      </c>
      <c r="F40" s="8"/>
      <c r="G40" s="8"/>
      <c r="H40" s="16">
        <v>1</v>
      </c>
      <c r="I40" s="16" t="s">
        <v>394</v>
      </c>
      <c r="J40" s="8"/>
      <c r="K40" s="42"/>
    </row>
    <row r="41" spans="1:11" x14ac:dyDescent="0.25">
      <c r="A41" s="5">
        <v>39</v>
      </c>
      <c r="B41" s="22" t="s">
        <v>444</v>
      </c>
      <c r="C41" s="8" t="s">
        <v>445</v>
      </c>
      <c r="D41" s="16" t="s">
        <v>446</v>
      </c>
      <c r="E41" s="8">
        <v>8765</v>
      </c>
      <c r="F41" s="8"/>
      <c r="G41" s="8"/>
      <c r="H41" s="16">
        <v>1</v>
      </c>
      <c r="I41" s="16" t="s">
        <v>414</v>
      </c>
      <c r="J41" s="8"/>
      <c r="K41" s="42"/>
    </row>
    <row r="42" spans="1:11" x14ac:dyDescent="0.25">
      <c r="A42" s="5">
        <v>40</v>
      </c>
      <c r="B42" s="22" t="s">
        <v>447</v>
      </c>
      <c r="C42" s="8" t="s">
        <v>110</v>
      </c>
      <c r="D42" s="16" t="s">
        <v>410</v>
      </c>
      <c r="E42" s="16" t="s">
        <v>448</v>
      </c>
      <c r="F42" s="8"/>
      <c r="G42" s="8"/>
      <c r="H42" s="16">
        <v>1</v>
      </c>
      <c r="I42" s="16" t="s">
        <v>417</v>
      </c>
      <c r="J42" s="8"/>
      <c r="K42" s="42"/>
    </row>
    <row r="43" spans="1:11" x14ac:dyDescent="0.25">
      <c r="A43" s="5">
        <v>41</v>
      </c>
      <c r="B43" s="22" t="s">
        <v>449</v>
      </c>
      <c r="C43" s="8"/>
      <c r="D43" s="8"/>
      <c r="E43" s="50">
        <v>9.4700000000000008E+47</v>
      </c>
      <c r="F43" s="8"/>
      <c r="G43" s="8"/>
      <c r="H43" s="16">
        <v>2</v>
      </c>
      <c r="I43" s="16" t="s">
        <v>414</v>
      </c>
      <c r="J43" s="8"/>
      <c r="K43" s="42"/>
    </row>
    <row r="44" spans="1:11" x14ac:dyDescent="0.25">
      <c r="A44" s="5">
        <v>42</v>
      </c>
      <c r="B44" s="22" t="s">
        <v>156</v>
      </c>
      <c r="C44" s="8"/>
      <c r="D44" s="16" t="s">
        <v>19</v>
      </c>
      <c r="E44" s="16" t="s">
        <v>157</v>
      </c>
      <c r="F44" s="8"/>
      <c r="G44" s="8"/>
      <c r="H44" s="16">
        <v>1</v>
      </c>
      <c r="I44" s="16" t="s">
        <v>415</v>
      </c>
      <c r="J44" s="8"/>
      <c r="K44" s="42"/>
    </row>
    <row r="45" spans="1:11" x14ac:dyDescent="0.25">
      <c r="A45" s="5">
        <v>43</v>
      </c>
      <c r="B45" s="22" t="s">
        <v>452</v>
      </c>
      <c r="C45" s="8" t="s">
        <v>453</v>
      </c>
      <c r="D45" s="16" t="s">
        <v>404</v>
      </c>
      <c r="E45" s="8"/>
      <c r="F45" s="8"/>
      <c r="G45" s="8"/>
      <c r="H45" s="16">
        <v>1</v>
      </c>
      <c r="I45" s="16" t="s">
        <v>454</v>
      </c>
      <c r="J45" s="8"/>
      <c r="K45" s="42"/>
    </row>
    <row r="46" spans="1:11" x14ac:dyDescent="0.25">
      <c r="A46" s="5">
        <v>44</v>
      </c>
      <c r="B46" s="22" t="s">
        <v>105</v>
      </c>
      <c r="C46" s="8"/>
      <c r="D46" s="16" t="s">
        <v>410</v>
      </c>
      <c r="E46" s="8" t="s">
        <v>455</v>
      </c>
      <c r="F46" s="8"/>
      <c r="G46" s="8"/>
      <c r="H46" s="16">
        <v>1</v>
      </c>
      <c r="I46" s="16" t="s">
        <v>456</v>
      </c>
      <c r="J46" s="8"/>
      <c r="K46" s="42"/>
    </row>
    <row r="47" spans="1:11" x14ac:dyDescent="0.25">
      <c r="A47" s="5">
        <v>45</v>
      </c>
      <c r="B47" s="22" t="s">
        <v>457</v>
      </c>
      <c r="C47" s="8"/>
      <c r="D47" s="16" t="s">
        <v>8</v>
      </c>
      <c r="E47" s="8">
        <v>97480</v>
      </c>
      <c r="F47" s="8"/>
      <c r="G47" s="8"/>
      <c r="H47" s="16">
        <v>1</v>
      </c>
      <c r="I47" s="16" t="s">
        <v>372</v>
      </c>
      <c r="J47" s="8"/>
      <c r="K47" s="42"/>
    </row>
    <row r="48" spans="1:11" x14ac:dyDescent="0.25">
      <c r="A48" s="5">
        <v>46</v>
      </c>
      <c r="B48" s="22" t="s">
        <v>153</v>
      </c>
      <c r="C48" s="8" t="s">
        <v>219</v>
      </c>
      <c r="D48" s="16" t="s">
        <v>34</v>
      </c>
      <c r="E48" s="8" t="s">
        <v>458</v>
      </c>
      <c r="F48" s="8"/>
      <c r="G48" s="8"/>
      <c r="H48" s="16">
        <v>1</v>
      </c>
      <c r="I48" s="16" t="s">
        <v>351</v>
      </c>
      <c r="J48" s="8"/>
      <c r="K48" s="42"/>
    </row>
    <row r="49" spans="1:11" x14ac:dyDescent="0.25">
      <c r="A49" s="5">
        <v>47</v>
      </c>
      <c r="B49" s="22" t="s">
        <v>153</v>
      </c>
      <c r="C49" s="8" t="s">
        <v>219</v>
      </c>
      <c r="D49" s="16" t="s">
        <v>6</v>
      </c>
      <c r="E49" s="8" t="s">
        <v>459</v>
      </c>
      <c r="F49" s="8"/>
      <c r="G49" s="8"/>
      <c r="H49" s="16">
        <v>2</v>
      </c>
      <c r="I49" s="16" t="s">
        <v>351</v>
      </c>
      <c r="J49" s="8"/>
      <c r="K49" s="42"/>
    </row>
    <row r="50" spans="1:11" x14ac:dyDescent="0.25">
      <c r="A50" s="5">
        <v>48</v>
      </c>
      <c r="B50" s="22" t="s">
        <v>460</v>
      </c>
      <c r="C50" s="8" t="s">
        <v>219</v>
      </c>
      <c r="D50" s="16" t="s">
        <v>13</v>
      </c>
      <c r="E50" s="8" t="s">
        <v>461</v>
      </c>
      <c r="F50" s="8"/>
      <c r="G50" s="8"/>
      <c r="H50" s="16">
        <v>1</v>
      </c>
      <c r="I50" s="16" t="s">
        <v>351</v>
      </c>
      <c r="J50" s="8"/>
      <c r="K50" s="42"/>
    </row>
    <row r="51" spans="1:11" x14ac:dyDescent="0.25">
      <c r="A51" s="5">
        <v>49</v>
      </c>
      <c r="B51" s="22" t="s">
        <v>463</v>
      </c>
      <c r="C51" s="8" t="s">
        <v>219</v>
      </c>
      <c r="D51" s="16" t="s">
        <v>19</v>
      </c>
      <c r="E51" s="8" t="s">
        <v>18</v>
      </c>
      <c r="F51" s="8"/>
      <c r="G51" s="8"/>
      <c r="H51" s="16">
        <v>1</v>
      </c>
      <c r="I51" s="16" t="s">
        <v>394</v>
      </c>
      <c r="J51" s="8"/>
      <c r="K51" s="42"/>
    </row>
    <row r="52" spans="1:11" x14ac:dyDescent="0.25">
      <c r="A52" s="5">
        <v>50</v>
      </c>
      <c r="B52" s="22" t="s">
        <v>464</v>
      </c>
      <c r="C52" s="8" t="s">
        <v>74</v>
      </c>
      <c r="D52" s="16" t="s">
        <v>8</v>
      </c>
      <c r="E52" s="8">
        <v>15440</v>
      </c>
      <c r="F52" s="8"/>
      <c r="G52" s="8"/>
      <c r="H52" s="16">
        <v>1</v>
      </c>
      <c r="I52" s="16" t="s">
        <v>415</v>
      </c>
      <c r="J52" s="8"/>
      <c r="K52" s="42"/>
    </row>
    <row r="53" spans="1:11" x14ac:dyDescent="0.25">
      <c r="A53" s="5">
        <v>51</v>
      </c>
      <c r="B53" s="22" t="s">
        <v>465</v>
      </c>
      <c r="C53" s="8" t="s">
        <v>219</v>
      </c>
      <c r="D53" s="16" t="s">
        <v>6</v>
      </c>
      <c r="E53" s="8">
        <v>1.10886</v>
      </c>
      <c r="F53" s="8"/>
      <c r="G53" s="8"/>
      <c r="H53" s="16">
        <v>1</v>
      </c>
      <c r="I53" s="16" t="s">
        <v>372</v>
      </c>
      <c r="J53" s="8"/>
      <c r="K53" s="42"/>
    </row>
    <row r="54" spans="1:11" x14ac:dyDescent="0.25">
      <c r="A54" s="5">
        <v>52</v>
      </c>
      <c r="B54" s="22" t="s">
        <v>466</v>
      </c>
      <c r="C54" s="8"/>
      <c r="D54" s="8" t="s">
        <v>6</v>
      </c>
      <c r="E54" s="8" t="s">
        <v>467</v>
      </c>
      <c r="F54" s="8"/>
      <c r="G54" s="8"/>
      <c r="H54" s="16">
        <v>1</v>
      </c>
      <c r="I54" s="16" t="s">
        <v>468</v>
      </c>
      <c r="J54" s="8"/>
      <c r="K54" s="42"/>
    </row>
    <row r="55" spans="1:11" x14ac:dyDescent="0.25">
      <c r="A55" s="5">
        <v>53</v>
      </c>
      <c r="B55" s="22" t="s">
        <v>86</v>
      </c>
      <c r="C55" s="8" t="s">
        <v>219</v>
      </c>
      <c r="D55" s="16" t="s">
        <v>469</v>
      </c>
      <c r="E55" s="8">
        <v>35156</v>
      </c>
      <c r="F55" s="8"/>
      <c r="G55" s="8"/>
      <c r="H55" s="16">
        <v>1</v>
      </c>
      <c r="I55" s="16" t="s">
        <v>415</v>
      </c>
      <c r="J55" s="8"/>
      <c r="K55" s="42"/>
    </row>
    <row r="56" spans="1:11" x14ac:dyDescent="0.25">
      <c r="A56" s="5">
        <v>54</v>
      </c>
      <c r="B56" s="34" t="s">
        <v>173</v>
      </c>
      <c r="C56" s="34" t="s">
        <v>139</v>
      </c>
      <c r="D56" s="20" t="s">
        <v>164</v>
      </c>
      <c r="E56" s="20">
        <v>542000500</v>
      </c>
      <c r="F56" s="38">
        <v>44525</v>
      </c>
      <c r="G56" s="39">
        <v>46023</v>
      </c>
      <c r="H56" s="20">
        <v>1</v>
      </c>
      <c r="I56" s="20" t="s">
        <v>7</v>
      </c>
      <c r="J56" s="20"/>
      <c r="K56" s="42"/>
    </row>
    <row r="57" spans="1:11" x14ac:dyDescent="0.25">
      <c r="A57" s="2">
        <v>55</v>
      </c>
      <c r="B57" s="34" t="s">
        <v>163</v>
      </c>
      <c r="C57" s="34" t="s">
        <v>139</v>
      </c>
      <c r="D57" s="20" t="s">
        <v>164</v>
      </c>
      <c r="E57" s="20">
        <v>542000500</v>
      </c>
      <c r="F57" s="39">
        <v>44228</v>
      </c>
      <c r="G57" s="39">
        <v>46174</v>
      </c>
      <c r="H57" s="20">
        <v>1</v>
      </c>
      <c r="I57" s="20" t="s">
        <v>7</v>
      </c>
      <c r="J57" s="20"/>
      <c r="K57" s="42"/>
    </row>
    <row r="58" spans="1:11" x14ac:dyDescent="0.25">
      <c r="A58" s="2">
        <v>56</v>
      </c>
      <c r="B58" s="34" t="s">
        <v>138</v>
      </c>
      <c r="C58" s="34" t="s">
        <v>189</v>
      </c>
      <c r="D58" s="20" t="s">
        <v>124</v>
      </c>
      <c r="E58" s="20" t="s">
        <v>373</v>
      </c>
      <c r="F58" s="20" t="s">
        <v>124</v>
      </c>
      <c r="G58" s="20" t="s">
        <v>124</v>
      </c>
      <c r="H58" s="20">
        <v>1</v>
      </c>
      <c r="I58" s="20" t="s">
        <v>7</v>
      </c>
      <c r="J58" s="20"/>
    </row>
    <row r="59" spans="1:11" x14ac:dyDescent="0.25">
      <c r="A59" s="46">
        <v>57</v>
      </c>
      <c r="B59" s="34" t="s">
        <v>153</v>
      </c>
      <c r="C59" s="34" t="s">
        <v>246</v>
      </c>
      <c r="D59" s="20" t="s">
        <v>124</v>
      </c>
      <c r="E59" s="20" t="s">
        <v>124</v>
      </c>
      <c r="F59" s="20" t="s">
        <v>123</v>
      </c>
      <c r="G59" s="20" t="s">
        <v>124</v>
      </c>
      <c r="H59" s="20">
        <v>1</v>
      </c>
      <c r="I59" s="20" t="s">
        <v>9</v>
      </c>
      <c r="J59" s="20"/>
    </row>
    <row r="60" spans="1:11" x14ac:dyDescent="0.25">
      <c r="A60" s="44">
        <v>58</v>
      </c>
      <c r="B60" s="34" t="s">
        <v>79</v>
      </c>
      <c r="C60" s="34" t="s">
        <v>405</v>
      </c>
      <c r="D60" s="20" t="s">
        <v>404</v>
      </c>
      <c r="E60" s="20" t="s">
        <v>404</v>
      </c>
      <c r="F60" s="20" t="s">
        <v>404</v>
      </c>
      <c r="G60" s="20" t="s">
        <v>404</v>
      </c>
      <c r="H60" s="20">
        <v>1</v>
      </c>
      <c r="I60" s="20" t="s">
        <v>404</v>
      </c>
      <c r="J60" s="34"/>
    </row>
    <row r="61" spans="1:11" x14ac:dyDescent="0.25">
      <c r="A61" s="44">
        <v>59</v>
      </c>
      <c r="B61" s="34" t="s">
        <v>86</v>
      </c>
      <c r="C61" s="34" t="s">
        <v>242</v>
      </c>
      <c r="D61" s="20" t="s">
        <v>243</v>
      </c>
      <c r="E61" s="20" t="s">
        <v>124</v>
      </c>
      <c r="F61" s="20" t="s">
        <v>70</v>
      </c>
      <c r="G61" s="20" t="s">
        <v>70</v>
      </c>
      <c r="H61" s="20">
        <v>1</v>
      </c>
      <c r="I61" s="20" t="s">
        <v>49</v>
      </c>
      <c r="J61" s="34"/>
    </row>
    <row r="62" spans="1:11" x14ac:dyDescent="0.25">
      <c r="A62" s="44">
        <v>60</v>
      </c>
      <c r="B62" s="34" t="s">
        <v>180</v>
      </c>
      <c r="C62" s="34" t="s">
        <v>110</v>
      </c>
      <c r="D62" s="20" t="s">
        <v>181</v>
      </c>
      <c r="E62" s="20" t="s">
        <v>123</v>
      </c>
      <c r="F62" s="20" t="s">
        <v>123</v>
      </c>
      <c r="G62" s="20" t="s">
        <v>182</v>
      </c>
      <c r="H62" s="20">
        <v>1</v>
      </c>
      <c r="I62" s="20" t="s">
        <v>7</v>
      </c>
      <c r="J62" s="20"/>
    </row>
    <row r="63" spans="1:11" x14ac:dyDescent="0.25">
      <c r="A63" s="44">
        <v>61</v>
      </c>
      <c r="B63" s="34" t="s">
        <v>118</v>
      </c>
      <c r="C63" s="34" t="s">
        <v>74</v>
      </c>
      <c r="D63" s="47" t="s">
        <v>119</v>
      </c>
      <c r="E63" s="34" t="s">
        <v>120</v>
      </c>
      <c r="F63" s="48">
        <v>44896</v>
      </c>
      <c r="G63" s="48">
        <v>45992</v>
      </c>
      <c r="H63" s="34">
        <v>1</v>
      </c>
      <c r="I63" s="34" t="s">
        <v>89</v>
      </c>
      <c r="J63" s="34"/>
    </row>
    <row r="64" spans="1:11" x14ac:dyDescent="0.25">
      <c r="A64" s="44">
        <v>62</v>
      </c>
      <c r="B64" s="34" t="s">
        <v>118</v>
      </c>
      <c r="C64" s="34" t="s">
        <v>121</v>
      </c>
      <c r="D64" s="47" t="s">
        <v>119</v>
      </c>
      <c r="E64" s="34" t="s">
        <v>120</v>
      </c>
      <c r="F64" s="48">
        <v>44896</v>
      </c>
      <c r="G64" s="48">
        <v>45992</v>
      </c>
      <c r="H64" s="34">
        <v>1</v>
      </c>
      <c r="I64" s="34" t="s">
        <v>89</v>
      </c>
      <c r="J64" s="34"/>
    </row>
    <row r="65" spans="1:10" x14ac:dyDescent="0.25">
      <c r="A65" s="44">
        <v>63</v>
      </c>
      <c r="B65" s="34" t="s">
        <v>149</v>
      </c>
      <c r="C65" s="34" t="s">
        <v>110</v>
      </c>
      <c r="D65" s="34" t="s">
        <v>8</v>
      </c>
      <c r="E65" s="34" t="s">
        <v>790</v>
      </c>
      <c r="F65" s="34"/>
      <c r="G65" s="48">
        <v>45839</v>
      </c>
      <c r="H65" s="34">
        <v>1</v>
      </c>
      <c r="I65" s="34" t="s">
        <v>351</v>
      </c>
      <c r="J65" s="34" t="s">
        <v>335</v>
      </c>
    </row>
    <row r="66" spans="1:10" x14ac:dyDescent="0.25">
      <c r="A66" s="44">
        <v>64</v>
      </c>
      <c r="B66" s="34" t="s">
        <v>791</v>
      </c>
      <c r="C66" s="34" t="s">
        <v>110</v>
      </c>
      <c r="D66" s="34" t="s">
        <v>96</v>
      </c>
      <c r="E66" s="34" t="s">
        <v>793</v>
      </c>
      <c r="F66" s="34" t="s">
        <v>70</v>
      </c>
      <c r="G66" s="51">
        <v>45565</v>
      </c>
      <c r="H66" s="34">
        <v>2</v>
      </c>
      <c r="I66" s="34" t="s">
        <v>417</v>
      </c>
      <c r="J66" s="34"/>
    </row>
    <row r="67" spans="1:10" x14ac:dyDescent="0.25">
      <c r="A67" s="44">
        <v>65</v>
      </c>
      <c r="B67" s="34" t="s">
        <v>792</v>
      </c>
      <c r="C67" s="34" t="s">
        <v>80</v>
      </c>
      <c r="D67" s="34" t="s">
        <v>19</v>
      </c>
      <c r="E67" s="34" t="s">
        <v>796</v>
      </c>
      <c r="F67" s="34" t="s">
        <v>70</v>
      </c>
      <c r="G67" s="51">
        <v>46053</v>
      </c>
      <c r="H67" s="34">
        <v>2</v>
      </c>
      <c r="I67" s="34" t="s">
        <v>417</v>
      </c>
      <c r="J67" s="34"/>
    </row>
    <row r="68" spans="1:10" x14ac:dyDescent="0.25">
      <c r="A68" s="44">
        <v>66</v>
      </c>
      <c r="B68" s="34" t="s">
        <v>794</v>
      </c>
      <c r="C68" s="34" t="s">
        <v>110</v>
      </c>
      <c r="D68" s="34" t="s">
        <v>19</v>
      </c>
      <c r="E68" s="34" t="s">
        <v>795</v>
      </c>
      <c r="F68" s="51" t="s">
        <v>70</v>
      </c>
      <c r="G68" s="51">
        <v>45657</v>
      </c>
      <c r="H68" s="34">
        <v>1</v>
      </c>
      <c r="I68" s="34" t="s">
        <v>417</v>
      </c>
      <c r="J68" s="34"/>
    </row>
    <row r="69" spans="1:10" x14ac:dyDescent="0.25">
      <c r="A69" s="44"/>
    </row>
    <row r="70" spans="1:10" x14ac:dyDescent="0.25">
      <c r="A70" s="44"/>
    </row>
    <row r="71" spans="1:10" x14ac:dyDescent="0.25">
      <c r="A71" s="44"/>
    </row>
  </sheetData>
  <sortState xmlns:xlrd2="http://schemas.microsoft.com/office/spreadsheetml/2017/richdata2" ref="A4:J36">
    <sortCondition ref="B4"/>
  </sortState>
  <mergeCells count="1">
    <mergeCell ref="A2:J2"/>
  </mergeCells>
  <pageMargins left="0.7" right="0.7" top="0.75" bottom="0.75" header="0.3" footer="0.3"/>
  <pageSetup orientation="landscape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N82"/>
  <sheetViews>
    <sheetView topLeftCell="A3" workbookViewId="0">
      <selection activeCell="K20" sqref="K20"/>
    </sheetView>
  </sheetViews>
  <sheetFormatPr baseColWidth="10" defaultRowHeight="15" x14ac:dyDescent="0.25"/>
  <cols>
    <col min="1" max="1" width="3.42578125" customWidth="1"/>
    <col min="2" max="2" width="16" customWidth="1"/>
    <col min="3" max="3" width="17" customWidth="1"/>
    <col min="4" max="4" width="25.85546875" customWidth="1"/>
    <col min="5" max="5" width="11" customWidth="1"/>
    <col min="6" max="7" width="10.7109375" customWidth="1"/>
    <col min="8" max="8" width="6" customWidth="1"/>
    <col min="9" max="9" width="11.28515625" customWidth="1"/>
    <col min="10" max="10" width="15.7109375" customWidth="1"/>
  </cols>
  <sheetData>
    <row r="2" spans="1:14" x14ac:dyDescent="0.25">
      <c r="A2" s="92" t="s">
        <v>803</v>
      </c>
      <c r="B2" s="92"/>
      <c r="C2" s="92"/>
      <c r="D2" s="92"/>
      <c r="E2" s="92"/>
      <c r="F2" s="92"/>
      <c r="G2" s="92"/>
      <c r="H2" s="92"/>
      <c r="I2" s="92"/>
      <c r="J2" s="92"/>
      <c r="K2" s="92"/>
    </row>
    <row r="3" spans="1:14" ht="36" x14ac:dyDescent="0.25">
      <c r="A3" s="9" t="s">
        <v>1</v>
      </c>
      <c r="B3" s="10" t="s">
        <v>68</v>
      </c>
      <c r="C3" s="10" t="s">
        <v>69</v>
      </c>
      <c r="D3" s="10" t="s">
        <v>0</v>
      </c>
      <c r="E3" s="10" t="s">
        <v>4</v>
      </c>
      <c r="F3" s="10" t="s">
        <v>67</v>
      </c>
      <c r="G3" s="10" t="s">
        <v>5</v>
      </c>
      <c r="H3" s="10" t="s">
        <v>31</v>
      </c>
      <c r="I3" s="10" t="s">
        <v>65</v>
      </c>
      <c r="J3" s="10" t="s">
        <v>279</v>
      </c>
      <c r="K3" s="10" t="s">
        <v>332</v>
      </c>
      <c r="L3" s="62" t="s">
        <v>343</v>
      </c>
    </row>
    <row r="4" spans="1:14" x14ac:dyDescent="0.25">
      <c r="A4" s="64">
        <v>1</v>
      </c>
      <c r="B4" s="6" t="s">
        <v>322</v>
      </c>
      <c r="C4" s="6" t="s">
        <v>323</v>
      </c>
      <c r="D4" s="16" t="s">
        <v>143</v>
      </c>
      <c r="E4" s="16" t="s">
        <v>324</v>
      </c>
      <c r="F4" s="6" t="s">
        <v>70</v>
      </c>
      <c r="G4" s="6" t="s">
        <v>70</v>
      </c>
      <c r="H4" s="6">
        <v>1</v>
      </c>
      <c r="I4" s="6" t="s">
        <v>325</v>
      </c>
      <c r="J4" s="6" t="s">
        <v>281</v>
      </c>
      <c r="K4" s="6">
        <v>1</v>
      </c>
      <c r="L4" s="61"/>
    </row>
    <row r="5" spans="1:14" x14ac:dyDescent="0.25">
      <c r="A5" s="6">
        <v>2</v>
      </c>
      <c r="B5" s="6" t="s">
        <v>322</v>
      </c>
      <c r="C5" s="6" t="s">
        <v>703</v>
      </c>
      <c r="D5" s="16" t="s">
        <v>408</v>
      </c>
      <c r="E5" s="16">
        <v>713631</v>
      </c>
      <c r="F5" s="6" t="s">
        <v>70</v>
      </c>
      <c r="G5" s="6" t="s">
        <v>70</v>
      </c>
      <c r="H5" s="6">
        <v>1</v>
      </c>
      <c r="I5" s="6" t="s">
        <v>718</v>
      </c>
      <c r="J5" s="6" t="s">
        <v>281</v>
      </c>
      <c r="K5" s="6">
        <v>1</v>
      </c>
      <c r="L5" s="42"/>
    </row>
    <row r="6" spans="1:14" x14ac:dyDescent="0.25">
      <c r="A6" s="6">
        <v>3</v>
      </c>
      <c r="B6" s="20" t="s">
        <v>275</v>
      </c>
      <c r="C6" s="20" t="s">
        <v>276</v>
      </c>
      <c r="D6" s="30" t="s">
        <v>277</v>
      </c>
      <c r="E6" s="30">
        <v>3816393</v>
      </c>
      <c r="F6" s="20" t="s">
        <v>70</v>
      </c>
      <c r="G6" s="20" t="s">
        <v>70</v>
      </c>
      <c r="H6" s="20">
        <v>1</v>
      </c>
      <c r="I6" s="20" t="s">
        <v>278</v>
      </c>
      <c r="J6" s="20" t="s">
        <v>281</v>
      </c>
      <c r="K6" s="93">
        <f>H6+H7+H8+H9+H10+H11+H14+H15+H16+H12+H13+H17</f>
        <v>12</v>
      </c>
      <c r="L6" s="43" t="s">
        <v>343</v>
      </c>
    </row>
    <row r="7" spans="1:14" x14ac:dyDescent="0.25">
      <c r="A7" s="6">
        <v>4</v>
      </c>
      <c r="B7" s="20" t="s">
        <v>275</v>
      </c>
      <c r="C7" s="20" t="s">
        <v>276</v>
      </c>
      <c r="D7" s="30" t="s">
        <v>277</v>
      </c>
      <c r="E7" s="30">
        <v>3780213</v>
      </c>
      <c r="F7" s="20" t="s">
        <v>70</v>
      </c>
      <c r="G7" s="20" t="s">
        <v>70</v>
      </c>
      <c r="H7" s="20">
        <v>1</v>
      </c>
      <c r="I7" s="20" t="s">
        <v>278</v>
      </c>
      <c r="J7" s="20" t="s">
        <v>281</v>
      </c>
      <c r="K7" s="93"/>
      <c r="L7" s="45"/>
      <c r="N7" t="s">
        <v>343</v>
      </c>
    </row>
    <row r="8" spans="1:14" x14ac:dyDescent="0.25">
      <c r="A8" s="6">
        <v>5</v>
      </c>
      <c r="B8" s="20" t="s">
        <v>275</v>
      </c>
      <c r="C8" s="20" t="s">
        <v>283</v>
      </c>
      <c r="D8" s="30" t="s">
        <v>277</v>
      </c>
      <c r="E8" s="30">
        <v>3758694</v>
      </c>
      <c r="F8" s="20" t="s">
        <v>70</v>
      </c>
      <c r="G8" s="20" t="s">
        <v>70</v>
      </c>
      <c r="H8" s="20">
        <v>1</v>
      </c>
      <c r="I8" s="20" t="s">
        <v>278</v>
      </c>
      <c r="J8" s="20" t="s">
        <v>281</v>
      </c>
      <c r="K8" s="93"/>
      <c r="L8" s="42"/>
    </row>
    <row r="9" spans="1:14" x14ac:dyDescent="0.25">
      <c r="A9" s="6">
        <v>6</v>
      </c>
      <c r="B9" s="20" t="s">
        <v>275</v>
      </c>
      <c r="C9" s="20" t="s">
        <v>283</v>
      </c>
      <c r="D9" s="30" t="s">
        <v>277</v>
      </c>
      <c r="E9" s="30">
        <v>3845743</v>
      </c>
      <c r="F9" s="20" t="s">
        <v>70</v>
      </c>
      <c r="G9" s="20" t="s">
        <v>70</v>
      </c>
      <c r="H9" s="20">
        <v>1</v>
      </c>
      <c r="I9" s="20" t="s">
        <v>278</v>
      </c>
      <c r="J9" s="20" t="s">
        <v>281</v>
      </c>
      <c r="K9" s="93"/>
      <c r="L9" s="42"/>
    </row>
    <row r="10" spans="1:14" x14ac:dyDescent="0.25">
      <c r="A10" s="6">
        <v>6</v>
      </c>
      <c r="B10" s="20" t="s">
        <v>275</v>
      </c>
      <c r="C10" s="20" t="s">
        <v>276</v>
      </c>
      <c r="D10" s="30" t="s">
        <v>143</v>
      </c>
      <c r="E10" s="30">
        <v>1003551620</v>
      </c>
      <c r="F10" s="20" t="s">
        <v>70</v>
      </c>
      <c r="G10" s="20" t="s">
        <v>70</v>
      </c>
      <c r="H10" s="20">
        <v>1</v>
      </c>
      <c r="I10" s="20" t="s">
        <v>278</v>
      </c>
      <c r="J10" s="20" t="s">
        <v>281</v>
      </c>
      <c r="K10" s="93"/>
      <c r="L10" s="42"/>
    </row>
    <row r="11" spans="1:14" x14ac:dyDescent="0.25">
      <c r="A11" s="6">
        <v>7</v>
      </c>
      <c r="B11" s="20" t="s">
        <v>275</v>
      </c>
      <c r="C11" s="20" t="s">
        <v>276</v>
      </c>
      <c r="D11" s="30" t="s">
        <v>143</v>
      </c>
      <c r="E11" s="30">
        <v>1003568260</v>
      </c>
      <c r="F11" s="20" t="s">
        <v>70</v>
      </c>
      <c r="G11" s="20" t="s">
        <v>70</v>
      </c>
      <c r="H11" s="20">
        <v>1</v>
      </c>
      <c r="I11" s="20" t="s">
        <v>278</v>
      </c>
      <c r="J11" s="20" t="s">
        <v>281</v>
      </c>
      <c r="K11" s="93"/>
      <c r="L11" s="42"/>
    </row>
    <row r="12" spans="1:14" x14ac:dyDescent="0.25">
      <c r="A12" s="6">
        <v>8</v>
      </c>
      <c r="B12" s="20" t="s">
        <v>275</v>
      </c>
      <c r="C12" s="20" t="s">
        <v>283</v>
      </c>
      <c r="D12" s="30" t="s">
        <v>143</v>
      </c>
      <c r="E12" s="30">
        <v>302962</v>
      </c>
      <c r="F12" s="38">
        <v>45541</v>
      </c>
      <c r="G12" s="20" t="s">
        <v>70</v>
      </c>
      <c r="H12" s="20">
        <v>1</v>
      </c>
      <c r="I12" s="20" t="s">
        <v>278</v>
      </c>
      <c r="J12" s="20" t="s">
        <v>281</v>
      </c>
      <c r="K12" s="93"/>
      <c r="L12" s="42"/>
    </row>
    <row r="13" spans="1:14" x14ac:dyDescent="0.25">
      <c r="A13" s="6">
        <v>9</v>
      </c>
      <c r="B13" s="20" t="s">
        <v>275</v>
      </c>
      <c r="C13" s="20" t="s">
        <v>283</v>
      </c>
      <c r="D13" s="30" t="s">
        <v>143</v>
      </c>
      <c r="E13" s="30">
        <v>369538</v>
      </c>
      <c r="F13" s="38">
        <v>45656</v>
      </c>
      <c r="G13" s="20" t="s">
        <v>70</v>
      </c>
      <c r="H13" s="20">
        <v>1</v>
      </c>
      <c r="I13" s="20" t="s">
        <v>284</v>
      </c>
      <c r="J13" s="20" t="s">
        <v>281</v>
      </c>
      <c r="K13" s="93"/>
      <c r="L13" s="42"/>
    </row>
    <row r="14" spans="1:14" x14ac:dyDescent="0.25">
      <c r="A14" s="6">
        <v>10</v>
      </c>
      <c r="B14" s="20" t="s">
        <v>694</v>
      </c>
      <c r="C14" s="20" t="s">
        <v>695</v>
      </c>
      <c r="D14" s="30" t="s">
        <v>143</v>
      </c>
      <c r="E14" s="30">
        <v>346768</v>
      </c>
      <c r="F14" s="38" t="s">
        <v>70</v>
      </c>
      <c r="G14" s="20" t="s">
        <v>70</v>
      </c>
      <c r="H14" s="20">
        <v>1</v>
      </c>
      <c r="I14" s="20" t="s">
        <v>696</v>
      </c>
      <c r="J14" s="20" t="s">
        <v>281</v>
      </c>
      <c r="K14" s="93"/>
      <c r="L14" s="42"/>
    </row>
    <row r="15" spans="1:14" x14ac:dyDescent="0.25">
      <c r="A15" s="6">
        <v>11</v>
      </c>
      <c r="B15" s="20" t="s">
        <v>706</v>
      </c>
      <c r="C15" s="20" t="s">
        <v>707</v>
      </c>
      <c r="D15" s="30"/>
      <c r="E15" s="30">
        <v>12774725</v>
      </c>
      <c r="F15" s="38" t="s">
        <v>70</v>
      </c>
      <c r="G15" s="39">
        <v>43647</v>
      </c>
      <c r="H15" s="20">
        <v>1</v>
      </c>
      <c r="I15" s="20" t="s">
        <v>708</v>
      </c>
      <c r="J15" s="20" t="s">
        <v>281</v>
      </c>
      <c r="K15" s="93"/>
      <c r="L15" s="42"/>
    </row>
    <row r="16" spans="1:14" x14ac:dyDescent="0.25">
      <c r="A16" s="6">
        <v>12</v>
      </c>
      <c r="B16" s="20" t="s">
        <v>694</v>
      </c>
      <c r="C16" s="20" t="s">
        <v>695</v>
      </c>
      <c r="D16" s="30" t="s">
        <v>143</v>
      </c>
      <c r="E16" s="30">
        <v>4222967</v>
      </c>
      <c r="F16" s="38" t="s">
        <v>70</v>
      </c>
      <c r="G16" s="20" t="s">
        <v>70</v>
      </c>
      <c r="H16" s="20">
        <v>1</v>
      </c>
      <c r="I16" s="20" t="s">
        <v>697</v>
      </c>
      <c r="J16" s="20" t="s">
        <v>281</v>
      </c>
      <c r="K16" s="93"/>
      <c r="L16" s="42"/>
    </row>
    <row r="17" spans="1:12" x14ac:dyDescent="0.25">
      <c r="A17" s="6">
        <v>13</v>
      </c>
      <c r="B17" s="20" t="s">
        <v>275</v>
      </c>
      <c r="C17" s="20" t="s">
        <v>287</v>
      </c>
      <c r="D17" s="30" t="s">
        <v>285</v>
      </c>
      <c r="E17" s="30">
        <v>12774725</v>
      </c>
      <c r="F17" s="20" t="s">
        <v>70</v>
      </c>
      <c r="G17" s="39">
        <v>43647</v>
      </c>
      <c r="H17" s="20">
        <v>1</v>
      </c>
      <c r="I17" s="20" t="s">
        <v>286</v>
      </c>
      <c r="J17" s="20" t="s">
        <v>281</v>
      </c>
      <c r="K17" s="93"/>
      <c r="L17" s="42"/>
    </row>
    <row r="18" spans="1:12" x14ac:dyDescent="0.25">
      <c r="A18" s="6">
        <v>14</v>
      </c>
      <c r="B18" s="6" t="s">
        <v>288</v>
      </c>
      <c r="C18" s="6" t="s">
        <v>290</v>
      </c>
      <c r="D18" s="16" t="s">
        <v>277</v>
      </c>
      <c r="E18" s="16">
        <v>3321184</v>
      </c>
      <c r="F18" s="6" t="s">
        <v>70</v>
      </c>
      <c r="G18" s="6" t="s">
        <v>70</v>
      </c>
      <c r="H18" s="6">
        <v>1</v>
      </c>
      <c r="I18" s="6" t="s">
        <v>135</v>
      </c>
      <c r="J18" s="6" t="s">
        <v>281</v>
      </c>
      <c r="K18" s="94">
        <v>2</v>
      </c>
      <c r="L18" s="42"/>
    </row>
    <row r="19" spans="1:12" x14ac:dyDescent="0.25">
      <c r="A19" s="6">
        <v>15</v>
      </c>
      <c r="B19" s="6" t="s">
        <v>288</v>
      </c>
      <c r="C19" s="6" t="s">
        <v>290</v>
      </c>
      <c r="D19" s="16" t="s">
        <v>277</v>
      </c>
      <c r="E19" s="16">
        <v>3607135</v>
      </c>
      <c r="F19" s="6" t="s">
        <v>70</v>
      </c>
      <c r="G19" s="6" t="s">
        <v>70</v>
      </c>
      <c r="H19" s="6">
        <v>1</v>
      </c>
      <c r="I19" s="6" t="s">
        <v>135</v>
      </c>
      <c r="J19" s="6" t="s">
        <v>281</v>
      </c>
      <c r="K19" s="94"/>
      <c r="L19" s="42"/>
    </row>
    <row r="20" spans="1:12" x14ac:dyDescent="0.25">
      <c r="A20" s="6">
        <v>16</v>
      </c>
      <c r="B20" s="6" t="s">
        <v>258</v>
      </c>
      <c r="C20" s="6" t="s">
        <v>110</v>
      </c>
      <c r="D20" s="16" t="s">
        <v>143</v>
      </c>
      <c r="E20" s="16" t="s">
        <v>30</v>
      </c>
      <c r="F20" s="6" t="s">
        <v>70</v>
      </c>
      <c r="G20" s="6" t="s">
        <v>70</v>
      </c>
      <c r="H20" s="6">
        <v>1</v>
      </c>
      <c r="I20" s="6" t="s">
        <v>307</v>
      </c>
      <c r="J20" s="6" t="s">
        <v>280</v>
      </c>
      <c r="K20" s="6">
        <v>1</v>
      </c>
      <c r="L20" s="42"/>
    </row>
    <row r="21" spans="1:12" x14ac:dyDescent="0.25">
      <c r="A21" s="6">
        <v>17</v>
      </c>
      <c r="B21" s="6" t="s">
        <v>257</v>
      </c>
      <c r="C21" s="6" t="s">
        <v>110</v>
      </c>
      <c r="D21" s="16" t="s">
        <v>143</v>
      </c>
      <c r="E21" s="16" t="s">
        <v>29</v>
      </c>
      <c r="F21" s="6" t="s">
        <v>70</v>
      </c>
      <c r="G21" s="6" t="s">
        <v>70</v>
      </c>
      <c r="H21" s="6">
        <v>1</v>
      </c>
      <c r="I21" s="6" t="s">
        <v>89</v>
      </c>
      <c r="J21" s="6" t="s">
        <v>280</v>
      </c>
      <c r="K21" s="6">
        <v>1</v>
      </c>
      <c r="L21" s="42"/>
    </row>
    <row r="22" spans="1:12" x14ac:dyDescent="0.25">
      <c r="A22" s="6">
        <v>18</v>
      </c>
      <c r="B22" s="7" t="s">
        <v>313</v>
      </c>
      <c r="C22" s="6" t="s">
        <v>311</v>
      </c>
      <c r="D22" s="23" t="s">
        <v>143</v>
      </c>
      <c r="E22" s="23" t="s">
        <v>314</v>
      </c>
      <c r="F22" s="6" t="s">
        <v>70</v>
      </c>
      <c r="G22" s="6" t="s">
        <v>70</v>
      </c>
      <c r="H22" s="6">
        <v>2</v>
      </c>
      <c r="I22" s="6" t="s">
        <v>307</v>
      </c>
      <c r="J22" s="6" t="s">
        <v>280</v>
      </c>
      <c r="K22" s="6">
        <v>2</v>
      </c>
      <c r="L22" s="42"/>
    </row>
    <row r="23" spans="1:12" x14ac:dyDescent="0.25">
      <c r="A23" s="6">
        <v>19</v>
      </c>
      <c r="B23" s="6" t="s">
        <v>249</v>
      </c>
      <c r="C23" s="6" t="s">
        <v>110</v>
      </c>
      <c r="D23" s="16" t="s">
        <v>143</v>
      </c>
      <c r="E23" s="16" t="s">
        <v>250</v>
      </c>
      <c r="F23" s="6" t="s">
        <v>70</v>
      </c>
      <c r="G23" s="6" t="s">
        <v>70</v>
      </c>
      <c r="H23" s="6">
        <v>3</v>
      </c>
      <c r="I23" s="6" t="s">
        <v>47</v>
      </c>
      <c r="J23" s="6" t="s">
        <v>280</v>
      </c>
      <c r="K23" s="6">
        <v>3</v>
      </c>
      <c r="L23" s="42"/>
    </row>
    <row r="24" spans="1:12" x14ac:dyDescent="0.25">
      <c r="A24" s="6">
        <v>20</v>
      </c>
      <c r="B24" s="6" t="s">
        <v>153</v>
      </c>
      <c r="C24" s="6" t="s">
        <v>331</v>
      </c>
      <c r="D24" s="16" t="s">
        <v>19</v>
      </c>
      <c r="E24" s="16" t="s">
        <v>329</v>
      </c>
      <c r="F24" s="6" t="s">
        <v>70</v>
      </c>
      <c r="G24" s="3">
        <v>46142</v>
      </c>
      <c r="H24" s="6">
        <v>1</v>
      </c>
      <c r="I24" s="6" t="s">
        <v>330</v>
      </c>
      <c r="J24" s="6" t="s">
        <v>321</v>
      </c>
      <c r="K24" s="6">
        <v>1</v>
      </c>
      <c r="L24" s="42"/>
    </row>
    <row r="25" spans="1:12" x14ac:dyDescent="0.25">
      <c r="A25" s="6">
        <v>21</v>
      </c>
      <c r="B25" s="20" t="s">
        <v>294</v>
      </c>
      <c r="C25" s="20" t="s">
        <v>709</v>
      </c>
      <c r="D25" s="30" t="s">
        <v>277</v>
      </c>
      <c r="E25" s="30">
        <v>4172490</v>
      </c>
      <c r="F25" s="20"/>
      <c r="G25" s="38" t="s">
        <v>70</v>
      </c>
      <c r="H25" s="20">
        <v>2</v>
      </c>
      <c r="I25" s="20" t="s">
        <v>711</v>
      </c>
      <c r="J25" s="20" t="s">
        <v>280</v>
      </c>
      <c r="K25" s="63">
        <v>2</v>
      </c>
      <c r="L25" s="42"/>
    </row>
    <row r="26" spans="1:12" x14ac:dyDescent="0.25">
      <c r="A26" s="6">
        <v>22</v>
      </c>
      <c r="B26" s="20" t="s">
        <v>294</v>
      </c>
      <c r="C26" s="20" t="s">
        <v>710</v>
      </c>
      <c r="D26" s="30" t="s">
        <v>277</v>
      </c>
      <c r="E26" s="30">
        <v>3601690</v>
      </c>
      <c r="F26" s="20"/>
      <c r="G26" s="38" t="s">
        <v>70</v>
      </c>
      <c r="H26" s="20">
        <v>1</v>
      </c>
      <c r="I26" s="20" t="s">
        <v>711</v>
      </c>
      <c r="J26" s="20" t="s">
        <v>280</v>
      </c>
      <c r="K26" s="63">
        <v>1</v>
      </c>
      <c r="L26" s="42"/>
    </row>
    <row r="27" spans="1:12" x14ac:dyDescent="0.25">
      <c r="A27" s="6">
        <v>23</v>
      </c>
      <c r="B27" s="20" t="s">
        <v>294</v>
      </c>
      <c r="C27" s="20" t="s">
        <v>295</v>
      </c>
      <c r="D27" s="30" t="s">
        <v>408</v>
      </c>
      <c r="E27" s="30">
        <v>647762</v>
      </c>
      <c r="F27" s="20" t="s">
        <v>70</v>
      </c>
      <c r="G27" s="38">
        <v>46874</v>
      </c>
      <c r="H27" s="20">
        <v>2</v>
      </c>
      <c r="I27" s="20" t="s">
        <v>712</v>
      </c>
      <c r="J27" s="20" t="s">
        <v>705</v>
      </c>
      <c r="K27" s="63">
        <v>2</v>
      </c>
      <c r="L27" s="42"/>
    </row>
    <row r="28" spans="1:12" x14ac:dyDescent="0.25">
      <c r="A28" s="6">
        <v>24</v>
      </c>
      <c r="B28" s="20" t="s">
        <v>294</v>
      </c>
      <c r="C28" s="20" t="s">
        <v>295</v>
      </c>
      <c r="D28" s="30" t="s">
        <v>296</v>
      </c>
      <c r="E28" s="30" t="s">
        <v>297</v>
      </c>
      <c r="F28" s="20" t="s">
        <v>70</v>
      </c>
      <c r="G28" s="20" t="s">
        <v>70</v>
      </c>
      <c r="H28" s="20">
        <v>1</v>
      </c>
      <c r="I28" s="20" t="s">
        <v>282</v>
      </c>
      <c r="J28" s="20" t="s">
        <v>281</v>
      </c>
      <c r="K28" s="89">
        <f>H28+H29+H30</f>
        <v>4</v>
      </c>
      <c r="L28" s="42"/>
    </row>
    <row r="29" spans="1:12" x14ac:dyDescent="0.25">
      <c r="A29" s="6">
        <v>25</v>
      </c>
      <c r="B29" s="20" t="s">
        <v>294</v>
      </c>
      <c r="C29" s="20" t="s">
        <v>298</v>
      </c>
      <c r="D29" s="30" t="s">
        <v>143</v>
      </c>
      <c r="E29" s="30" t="s">
        <v>701</v>
      </c>
      <c r="F29" s="20" t="s">
        <v>70</v>
      </c>
      <c r="G29" s="20" t="s">
        <v>70</v>
      </c>
      <c r="H29" s="20">
        <v>1</v>
      </c>
      <c r="I29" s="20" t="s">
        <v>282</v>
      </c>
      <c r="J29" s="20" t="s">
        <v>281</v>
      </c>
      <c r="K29" s="91"/>
      <c r="L29" s="42"/>
    </row>
    <row r="30" spans="1:12" x14ac:dyDescent="0.25">
      <c r="A30" s="6">
        <v>26</v>
      </c>
      <c r="B30" s="20" t="s">
        <v>294</v>
      </c>
      <c r="C30" s="20" t="s">
        <v>291</v>
      </c>
      <c r="D30" s="30" t="s">
        <v>143</v>
      </c>
      <c r="E30" s="30" t="s">
        <v>299</v>
      </c>
      <c r="F30" s="20" t="s">
        <v>70</v>
      </c>
      <c r="G30" s="20" t="s">
        <v>70</v>
      </c>
      <c r="H30" s="20">
        <v>2</v>
      </c>
      <c r="I30" s="20" t="s">
        <v>282</v>
      </c>
      <c r="J30" s="20" t="s">
        <v>281</v>
      </c>
      <c r="K30" s="90"/>
      <c r="L30" s="42"/>
    </row>
    <row r="31" spans="1:12" x14ac:dyDescent="0.25">
      <c r="A31" s="6">
        <v>27</v>
      </c>
      <c r="B31" s="20" t="s">
        <v>308</v>
      </c>
      <c r="C31" s="20" t="s">
        <v>298</v>
      </c>
      <c r="D31" s="30" t="s">
        <v>143</v>
      </c>
      <c r="E31" s="30">
        <v>1003286781</v>
      </c>
      <c r="F31" s="20" t="s">
        <v>70</v>
      </c>
      <c r="G31" s="20" t="s">
        <v>70</v>
      </c>
      <c r="H31" s="20">
        <v>2</v>
      </c>
      <c r="I31" s="20" t="s">
        <v>309</v>
      </c>
      <c r="J31" s="20" t="s">
        <v>281</v>
      </c>
      <c r="K31" s="89">
        <f>H31+H32</f>
        <v>3</v>
      </c>
      <c r="L31" s="42"/>
    </row>
    <row r="32" spans="1:12" x14ac:dyDescent="0.25">
      <c r="A32" s="6">
        <v>28</v>
      </c>
      <c r="B32" s="20" t="s">
        <v>308</v>
      </c>
      <c r="C32" s="20" t="s">
        <v>298</v>
      </c>
      <c r="D32" s="30" t="s">
        <v>143</v>
      </c>
      <c r="E32" s="30">
        <v>1002615953</v>
      </c>
      <c r="F32" s="20" t="s">
        <v>70</v>
      </c>
      <c r="G32" s="20" t="s">
        <v>70</v>
      </c>
      <c r="H32" s="20">
        <v>1</v>
      </c>
      <c r="I32" s="20" t="s">
        <v>309</v>
      </c>
      <c r="J32" s="20" t="s">
        <v>281</v>
      </c>
      <c r="K32" s="90"/>
      <c r="L32" s="42"/>
    </row>
    <row r="33" spans="1:14" x14ac:dyDescent="0.25">
      <c r="A33" s="6">
        <v>29</v>
      </c>
      <c r="B33" s="20" t="s">
        <v>317</v>
      </c>
      <c r="C33" s="20" t="s">
        <v>318</v>
      </c>
      <c r="D33" s="30" t="s">
        <v>19</v>
      </c>
      <c r="E33" s="30" t="s">
        <v>319</v>
      </c>
      <c r="F33" s="20" t="s">
        <v>70</v>
      </c>
      <c r="G33" s="20" t="s">
        <v>70</v>
      </c>
      <c r="H33" s="20">
        <v>1</v>
      </c>
      <c r="I33" s="20" t="s">
        <v>320</v>
      </c>
      <c r="J33" s="20" t="s">
        <v>321</v>
      </c>
      <c r="K33" s="20">
        <v>1</v>
      </c>
      <c r="L33" s="42"/>
    </row>
    <row r="34" spans="1:14" x14ac:dyDescent="0.25">
      <c r="A34" s="6">
        <v>30</v>
      </c>
      <c r="B34" s="20" t="s">
        <v>254</v>
      </c>
      <c r="C34" s="20"/>
      <c r="D34" s="30" t="s">
        <v>143</v>
      </c>
      <c r="E34" s="30">
        <v>408943</v>
      </c>
      <c r="F34" s="20" t="s">
        <v>70</v>
      </c>
      <c r="G34" s="20" t="s">
        <v>70</v>
      </c>
      <c r="H34" s="20">
        <v>1</v>
      </c>
      <c r="I34" s="20" t="s">
        <v>393</v>
      </c>
      <c r="J34" s="20" t="s">
        <v>280</v>
      </c>
      <c r="K34" s="20">
        <v>1</v>
      </c>
      <c r="L34" s="42"/>
    </row>
    <row r="35" spans="1:14" x14ac:dyDescent="0.25">
      <c r="A35" s="6">
        <v>31</v>
      </c>
      <c r="B35" s="20" t="s">
        <v>252</v>
      </c>
      <c r="C35" s="20" t="s">
        <v>110</v>
      </c>
      <c r="D35" s="30" t="s">
        <v>143</v>
      </c>
      <c r="E35" s="30" t="s">
        <v>253</v>
      </c>
      <c r="F35" s="20" t="s">
        <v>70</v>
      </c>
      <c r="G35" s="20" t="s">
        <v>70</v>
      </c>
      <c r="H35" s="20">
        <v>1</v>
      </c>
      <c r="I35" s="20" t="s">
        <v>47</v>
      </c>
      <c r="J35" s="20" t="s">
        <v>280</v>
      </c>
      <c r="K35" s="20">
        <v>1</v>
      </c>
      <c r="L35" s="42"/>
    </row>
    <row r="36" spans="1:14" x14ac:dyDescent="0.25">
      <c r="A36" s="6">
        <v>32</v>
      </c>
      <c r="B36" s="20" t="s">
        <v>254</v>
      </c>
      <c r="C36" s="20" t="s">
        <v>110</v>
      </c>
      <c r="D36" s="30" t="s">
        <v>143</v>
      </c>
      <c r="E36" s="30" t="s">
        <v>255</v>
      </c>
      <c r="F36" s="20" t="s">
        <v>70</v>
      </c>
      <c r="G36" s="20" t="s">
        <v>70</v>
      </c>
      <c r="H36" s="20">
        <v>1</v>
      </c>
      <c r="I36" s="20" t="s">
        <v>9</v>
      </c>
      <c r="J36" s="20" t="s">
        <v>280</v>
      </c>
      <c r="K36" s="89">
        <v>2</v>
      </c>
      <c r="L36" s="42"/>
    </row>
    <row r="37" spans="1:14" x14ac:dyDescent="0.25">
      <c r="A37" s="6">
        <v>33</v>
      </c>
      <c r="B37" s="20" t="s">
        <v>254</v>
      </c>
      <c r="C37" s="20" t="s">
        <v>110</v>
      </c>
      <c r="D37" s="30" t="s">
        <v>143</v>
      </c>
      <c r="E37" s="30" t="s">
        <v>256</v>
      </c>
      <c r="F37" s="20" t="s">
        <v>70</v>
      </c>
      <c r="G37" s="20" t="s">
        <v>70</v>
      </c>
      <c r="H37" s="20">
        <v>1</v>
      </c>
      <c r="I37" s="20" t="s">
        <v>9</v>
      </c>
      <c r="J37" s="20" t="s">
        <v>280</v>
      </c>
      <c r="K37" s="90"/>
      <c r="L37" s="42"/>
      <c r="N37" t="s">
        <v>343</v>
      </c>
    </row>
    <row r="38" spans="1:14" x14ac:dyDescent="0.25">
      <c r="A38" s="6">
        <v>34</v>
      </c>
      <c r="B38" s="20" t="s">
        <v>315</v>
      </c>
      <c r="C38" s="20" t="s">
        <v>316</v>
      </c>
      <c r="D38" s="30" t="s">
        <v>285</v>
      </c>
      <c r="E38" s="30">
        <v>47781800</v>
      </c>
      <c r="F38" s="20" t="s">
        <v>70</v>
      </c>
      <c r="G38" s="39">
        <v>44593</v>
      </c>
      <c r="H38" s="20">
        <v>1</v>
      </c>
      <c r="I38" s="20" t="s">
        <v>88</v>
      </c>
      <c r="J38" s="20" t="s">
        <v>281</v>
      </c>
      <c r="K38" s="20">
        <v>1</v>
      </c>
      <c r="L38" s="42"/>
    </row>
    <row r="39" spans="1:14" x14ac:dyDescent="0.25">
      <c r="A39" s="6">
        <v>35</v>
      </c>
      <c r="B39" s="20" t="s">
        <v>248</v>
      </c>
      <c r="C39" s="20" t="s">
        <v>110</v>
      </c>
      <c r="D39" s="30" t="s">
        <v>143</v>
      </c>
      <c r="E39" s="30" t="s">
        <v>63</v>
      </c>
      <c r="F39" s="20" t="s">
        <v>70</v>
      </c>
      <c r="G39" s="20" t="s">
        <v>70</v>
      </c>
      <c r="H39" s="20">
        <v>1</v>
      </c>
      <c r="I39" s="20" t="s">
        <v>47</v>
      </c>
      <c r="J39" s="20" t="s">
        <v>280</v>
      </c>
      <c r="K39" s="89">
        <f>H39+H40+H42</f>
        <v>4</v>
      </c>
      <c r="L39" s="42"/>
      <c r="M39" t="s">
        <v>343</v>
      </c>
    </row>
    <row r="40" spans="1:14" x14ac:dyDescent="0.25">
      <c r="A40" s="6">
        <v>36</v>
      </c>
      <c r="B40" s="20" t="s">
        <v>248</v>
      </c>
      <c r="C40" s="20" t="s">
        <v>110</v>
      </c>
      <c r="D40" s="30" t="s">
        <v>143</v>
      </c>
      <c r="E40" s="30" t="s">
        <v>64</v>
      </c>
      <c r="F40" s="38">
        <v>42486</v>
      </c>
      <c r="G40" s="38">
        <v>43220</v>
      </c>
      <c r="H40" s="20">
        <v>1</v>
      </c>
      <c r="I40" s="20" t="s">
        <v>47</v>
      </c>
      <c r="J40" s="20" t="s">
        <v>280</v>
      </c>
      <c r="K40" s="91"/>
      <c r="L40" s="42"/>
    </row>
    <row r="41" spans="1:14" x14ac:dyDescent="0.25">
      <c r="A41" s="6">
        <v>37</v>
      </c>
      <c r="B41" s="20" t="s">
        <v>248</v>
      </c>
      <c r="C41" s="20" t="s">
        <v>110</v>
      </c>
      <c r="D41" s="30" t="s">
        <v>143</v>
      </c>
      <c r="E41" s="30">
        <v>475730</v>
      </c>
      <c r="F41" s="38">
        <v>42486</v>
      </c>
      <c r="G41" s="38">
        <v>43220</v>
      </c>
      <c r="H41" s="20">
        <v>1</v>
      </c>
      <c r="I41" s="20" t="s">
        <v>745</v>
      </c>
      <c r="J41" s="20" t="s">
        <v>280</v>
      </c>
      <c r="K41" s="91"/>
      <c r="L41" s="42"/>
    </row>
    <row r="42" spans="1:14" x14ac:dyDescent="0.25">
      <c r="A42" s="6">
        <v>38</v>
      </c>
      <c r="B42" s="20" t="s">
        <v>248</v>
      </c>
      <c r="C42" s="20" t="s">
        <v>110</v>
      </c>
      <c r="D42" s="30" t="s">
        <v>143</v>
      </c>
      <c r="E42" s="30" t="s">
        <v>251</v>
      </c>
      <c r="F42" s="20" t="s">
        <v>70</v>
      </c>
      <c r="G42" s="20" t="s">
        <v>70</v>
      </c>
      <c r="H42" s="20">
        <v>2</v>
      </c>
      <c r="I42" s="20" t="s">
        <v>27</v>
      </c>
      <c r="J42" s="20" t="s">
        <v>280</v>
      </c>
      <c r="K42" s="90"/>
      <c r="L42" s="42"/>
    </row>
    <row r="43" spans="1:14" x14ac:dyDescent="0.25">
      <c r="A43" s="6">
        <v>39</v>
      </c>
      <c r="B43" s="20" t="s">
        <v>322</v>
      </c>
      <c r="C43" s="20" t="s">
        <v>298</v>
      </c>
      <c r="D43" s="30" t="s">
        <v>143</v>
      </c>
      <c r="E43" s="30" t="s">
        <v>326</v>
      </c>
      <c r="F43" s="20" t="s">
        <v>70</v>
      </c>
      <c r="G43" s="20" t="s">
        <v>70</v>
      </c>
      <c r="H43" s="20">
        <v>1</v>
      </c>
      <c r="I43" s="20" t="s">
        <v>327</v>
      </c>
      <c r="J43" s="20" t="s">
        <v>328</v>
      </c>
      <c r="K43" s="20">
        <v>1</v>
      </c>
      <c r="L43" s="42"/>
      <c r="N43" t="s">
        <v>343</v>
      </c>
    </row>
    <row r="44" spans="1:14" x14ac:dyDescent="0.25">
      <c r="A44" s="6">
        <v>40</v>
      </c>
      <c r="B44" s="20" t="s">
        <v>259</v>
      </c>
      <c r="C44" s="20" t="s">
        <v>260</v>
      </c>
      <c r="D44" s="30" t="s">
        <v>273</v>
      </c>
      <c r="E44" s="30" t="s">
        <v>274</v>
      </c>
      <c r="F44" s="20" t="s">
        <v>70</v>
      </c>
      <c r="G44" s="20" t="s">
        <v>70</v>
      </c>
      <c r="H44" s="20">
        <v>1</v>
      </c>
      <c r="I44" s="20" t="s">
        <v>9</v>
      </c>
      <c r="J44" s="20" t="s">
        <v>280</v>
      </c>
      <c r="K44" s="20">
        <v>1</v>
      </c>
      <c r="L44" s="42"/>
    </row>
    <row r="45" spans="1:14" x14ac:dyDescent="0.25">
      <c r="A45" s="6">
        <v>41</v>
      </c>
      <c r="B45" s="20" t="s">
        <v>259</v>
      </c>
      <c r="C45" s="20" t="s">
        <v>272</v>
      </c>
      <c r="D45" s="30" t="s">
        <v>273</v>
      </c>
      <c r="E45" s="30" t="s">
        <v>274</v>
      </c>
      <c r="F45" s="20" t="s">
        <v>70</v>
      </c>
      <c r="G45" s="20" t="s">
        <v>70</v>
      </c>
      <c r="H45" s="20">
        <v>1</v>
      </c>
      <c r="I45" s="20" t="s">
        <v>9</v>
      </c>
      <c r="J45" s="20" t="s">
        <v>280</v>
      </c>
      <c r="K45" s="20">
        <v>1</v>
      </c>
      <c r="L45" s="42"/>
    </row>
    <row r="46" spans="1:14" x14ac:dyDescent="0.25">
      <c r="A46" s="6">
        <v>42</v>
      </c>
      <c r="B46" s="20" t="s">
        <v>289</v>
      </c>
      <c r="C46" s="20" t="s">
        <v>291</v>
      </c>
      <c r="D46" s="30" t="s">
        <v>143</v>
      </c>
      <c r="E46" s="30">
        <v>102576443</v>
      </c>
      <c r="F46" s="20" t="s">
        <v>70</v>
      </c>
      <c r="G46" s="20" t="s">
        <v>70</v>
      </c>
      <c r="H46" s="20">
        <v>2</v>
      </c>
      <c r="I46" s="20" t="s">
        <v>278</v>
      </c>
      <c r="J46" s="20" t="s">
        <v>281</v>
      </c>
      <c r="K46" s="89">
        <f>H46+H47+H48+H49+H50+H51+H52+H54+H53+H55</f>
        <v>12</v>
      </c>
      <c r="L46" s="42"/>
    </row>
    <row r="47" spans="1:14" x14ac:dyDescent="0.25">
      <c r="A47" s="6">
        <v>43</v>
      </c>
      <c r="B47" s="20" t="s">
        <v>289</v>
      </c>
      <c r="C47" s="20" t="s">
        <v>292</v>
      </c>
      <c r="D47" s="30" t="s">
        <v>277</v>
      </c>
      <c r="E47" s="30">
        <v>3519781</v>
      </c>
      <c r="F47" s="20" t="s">
        <v>70</v>
      </c>
      <c r="G47" s="20" t="s">
        <v>70</v>
      </c>
      <c r="H47" s="20">
        <v>1</v>
      </c>
      <c r="I47" s="20" t="s">
        <v>698</v>
      </c>
      <c r="J47" s="20" t="s">
        <v>281</v>
      </c>
      <c r="K47" s="91"/>
      <c r="L47" s="42"/>
    </row>
    <row r="48" spans="1:14" x14ac:dyDescent="0.25">
      <c r="A48" s="6">
        <v>44</v>
      </c>
      <c r="B48" s="20" t="s">
        <v>289</v>
      </c>
      <c r="C48" s="20" t="s">
        <v>293</v>
      </c>
      <c r="D48" s="30" t="s">
        <v>277</v>
      </c>
      <c r="E48" s="30">
        <v>3090041</v>
      </c>
      <c r="F48" s="20" t="s">
        <v>70</v>
      </c>
      <c r="G48" s="20" t="s">
        <v>70</v>
      </c>
      <c r="H48" s="20">
        <v>2</v>
      </c>
      <c r="I48" s="20" t="s">
        <v>698</v>
      </c>
      <c r="J48" s="20" t="s">
        <v>281</v>
      </c>
      <c r="K48" s="91"/>
      <c r="L48" s="42"/>
    </row>
    <row r="49" spans="1:14" x14ac:dyDescent="0.25">
      <c r="A49" s="6">
        <v>45</v>
      </c>
      <c r="B49" s="20" t="s">
        <v>289</v>
      </c>
      <c r="C49" s="20" t="s">
        <v>292</v>
      </c>
      <c r="D49" s="30" t="s">
        <v>277</v>
      </c>
      <c r="E49" s="30">
        <v>3766674</v>
      </c>
      <c r="F49" s="20" t="s">
        <v>70</v>
      </c>
      <c r="G49" s="20" t="s">
        <v>70</v>
      </c>
      <c r="H49" s="20">
        <v>1</v>
      </c>
      <c r="I49" s="20" t="s">
        <v>698</v>
      </c>
      <c r="J49" s="20" t="s">
        <v>281</v>
      </c>
      <c r="K49" s="91"/>
      <c r="L49" s="42"/>
    </row>
    <row r="50" spans="1:14" x14ac:dyDescent="0.25">
      <c r="A50" s="6">
        <v>46</v>
      </c>
      <c r="B50" s="20" t="s">
        <v>289</v>
      </c>
      <c r="C50" s="20" t="s">
        <v>292</v>
      </c>
      <c r="D50" s="30" t="s">
        <v>277</v>
      </c>
      <c r="E50" s="30">
        <v>3836443</v>
      </c>
      <c r="F50" s="20" t="s">
        <v>70</v>
      </c>
      <c r="G50" s="20" t="s">
        <v>70</v>
      </c>
      <c r="H50" s="20">
        <v>1</v>
      </c>
      <c r="I50" s="20" t="s">
        <v>698</v>
      </c>
      <c r="J50" s="20" t="s">
        <v>281</v>
      </c>
      <c r="K50" s="91"/>
      <c r="L50" s="42"/>
    </row>
    <row r="51" spans="1:14" x14ac:dyDescent="0.25">
      <c r="A51" s="6">
        <v>47</v>
      </c>
      <c r="B51" s="20" t="s">
        <v>289</v>
      </c>
      <c r="C51" s="20" t="s">
        <v>292</v>
      </c>
      <c r="D51" s="30" t="s">
        <v>277</v>
      </c>
      <c r="E51" s="30">
        <v>3314320</v>
      </c>
      <c r="F51" s="20" t="s">
        <v>70</v>
      </c>
      <c r="G51" s="20" t="s">
        <v>70</v>
      </c>
      <c r="H51" s="20">
        <v>1</v>
      </c>
      <c r="I51" s="20" t="s">
        <v>698</v>
      </c>
      <c r="J51" s="20" t="s">
        <v>281</v>
      </c>
      <c r="K51" s="91"/>
      <c r="L51" s="42"/>
    </row>
    <row r="52" spans="1:14" x14ac:dyDescent="0.25">
      <c r="A52" s="6">
        <v>48</v>
      </c>
      <c r="B52" s="20" t="s">
        <v>289</v>
      </c>
      <c r="C52" s="20" t="s">
        <v>291</v>
      </c>
      <c r="D52" s="30" t="s">
        <v>143</v>
      </c>
      <c r="E52" s="30">
        <v>102703519</v>
      </c>
      <c r="F52" s="38">
        <v>45541</v>
      </c>
      <c r="G52" s="20" t="s">
        <v>70</v>
      </c>
      <c r="H52" s="20">
        <v>1</v>
      </c>
      <c r="I52" s="20" t="s">
        <v>282</v>
      </c>
      <c r="J52" s="20" t="s">
        <v>281</v>
      </c>
      <c r="K52" s="91"/>
      <c r="L52" s="42"/>
      <c r="N52" t="s">
        <v>343</v>
      </c>
    </row>
    <row r="53" spans="1:14" x14ac:dyDescent="0.25">
      <c r="A53" s="6">
        <v>49</v>
      </c>
      <c r="B53" s="20" t="s">
        <v>289</v>
      </c>
      <c r="C53" s="20" t="s">
        <v>291</v>
      </c>
      <c r="D53" s="30" t="s">
        <v>143</v>
      </c>
      <c r="E53" s="30">
        <v>102772276</v>
      </c>
      <c r="F53" s="38">
        <v>45656</v>
      </c>
      <c r="G53" s="20" t="s">
        <v>70</v>
      </c>
      <c r="H53" s="20">
        <v>1</v>
      </c>
      <c r="I53" s="20" t="s">
        <v>282</v>
      </c>
      <c r="J53" s="20" t="s">
        <v>281</v>
      </c>
      <c r="K53" s="91"/>
      <c r="L53" s="42"/>
    </row>
    <row r="54" spans="1:14" x14ac:dyDescent="0.25">
      <c r="A54" s="6">
        <v>50</v>
      </c>
      <c r="B54" s="20" t="s">
        <v>289</v>
      </c>
      <c r="C54" s="20" t="s">
        <v>291</v>
      </c>
      <c r="D54" s="30" t="s">
        <v>277</v>
      </c>
      <c r="E54" s="30">
        <v>4287995</v>
      </c>
      <c r="F54" s="38"/>
      <c r="G54" s="20" t="s">
        <v>699</v>
      </c>
      <c r="H54" s="20">
        <v>1</v>
      </c>
      <c r="I54" s="20" t="s">
        <v>698</v>
      </c>
      <c r="J54" s="20" t="s">
        <v>700</v>
      </c>
      <c r="K54" s="91"/>
      <c r="L54" s="42"/>
    </row>
    <row r="55" spans="1:14" x14ac:dyDescent="0.25">
      <c r="A55" s="6">
        <v>51</v>
      </c>
      <c r="B55" s="20" t="s">
        <v>289</v>
      </c>
      <c r="C55" s="20" t="s">
        <v>291</v>
      </c>
      <c r="D55" s="30" t="s">
        <v>143</v>
      </c>
      <c r="E55" s="30">
        <v>102747300</v>
      </c>
      <c r="F55" s="38">
        <v>45541</v>
      </c>
      <c r="G55" s="20" t="s">
        <v>70</v>
      </c>
      <c r="H55" s="20">
        <v>1</v>
      </c>
      <c r="I55" s="20" t="s">
        <v>282</v>
      </c>
      <c r="J55" s="20" t="s">
        <v>281</v>
      </c>
      <c r="K55" s="90"/>
      <c r="L55" s="42"/>
    </row>
    <row r="56" spans="1:14" x14ac:dyDescent="0.25">
      <c r="A56" s="6">
        <v>52</v>
      </c>
      <c r="B56" s="6" t="s">
        <v>310</v>
      </c>
      <c r="C56" s="6" t="s">
        <v>311</v>
      </c>
      <c r="D56" s="16" t="s">
        <v>143</v>
      </c>
      <c r="E56" s="16" t="s">
        <v>312</v>
      </c>
      <c r="F56" s="6" t="s">
        <v>70</v>
      </c>
      <c r="G56" s="6" t="s">
        <v>70</v>
      </c>
      <c r="H56" s="6">
        <v>1</v>
      </c>
      <c r="I56" s="6" t="s">
        <v>307</v>
      </c>
      <c r="J56" s="6" t="s">
        <v>281</v>
      </c>
      <c r="K56" s="6">
        <v>1</v>
      </c>
      <c r="L56" s="42"/>
    </row>
    <row r="57" spans="1:14" x14ac:dyDescent="0.25">
      <c r="A57" s="6">
        <v>53</v>
      </c>
      <c r="B57" s="6" t="s">
        <v>300</v>
      </c>
      <c r="C57" s="6" t="s">
        <v>291</v>
      </c>
      <c r="D57" s="16" t="s">
        <v>143</v>
      </c>
      <c r="E57" s="16" t="s">
        <v>302</v>
      </c>
      <c r="F57" s="6" t="s">
        <v>70</v>
      </c>
      <c r="G57" s="6" t="s">
        <v>70</v>
      </c>
      <c r="H57" s="6">
        <v>2</v>
      </c>
      <c r="I57" s="6" t="s">
        <v>303</v>
      </c>
      <c r="J57" s="6" t="s">
        <v>280</v>
      </c>
      <c r="K57" s="85">
        <v>4</v>
      </c>
      <c r="L57" s="42"/>
    </row>
    <row r="58" spans="1:14" x14ac:dyDescent="0.25">
      <c r="A58" s="6">
        <v>54</v>
      </c>
      <c r="B58" s="6" t="s">
        <v>300</v>
      </c>
      <c r="C58" s="6" t="s">
        <v>304</v>
      </c>
      <c r="D58" s="16" t="s">
        <v>143</v>
      </c>
      <c r="E58" s="16" t="s">
        <v>301</v>
      </c>
      <c r="F58" s="6" t="s">
        <v>70</v>
      </c>
      <c r="G58" s="6" t="s">
        <v>70</v>
      </c>
      <c r="H58" s="6">
        <v>2</v>
      </c>
      <c r="I58" s="6" t="s">
        <v>303</v>
      </c>
      <c r="J58" s="6" t="s">
        <v>280</v>
      </c>
      <c r="K58" s="86"/>
      <c r="L58" s="42"/>
    </row>
    <row r="59" spans="1:14" x14ac:dyDescent="0.25">
      <c r="A59" s="6">
        <v>55</v>
      </c>
      <c r="B59" s="6" t="s">
        <v>300</v>
      </c>
      <c r="C59" s="6" t="s">
        <v>304</v>
      </c>
      <c r="D59" s="16" t="s">
        <v>143</v>
      </c>
      <c r="E59" s="16">
        <v>4949992</v>
      </c>
      <c r="F59" s="6" t="s">
        <v>70</v>
      </c>
      <c r="G59" s="6" t="s">
        <v>70</v>
      </c>
      <c r="H59" s="6">
        <v>2</v>
      </c>
      <c r="I59" s="6" t="s">
        <v>303</v>
      </c>
      <c r="J59" s="6" t="s">
        <v>280</v>
      </c>
      <c r="K59" s="32"/>
      <c r="L59" s="42"/>
    </row>
    <row r="60" spans="1:14" x14ac:dyDescent="0.25">
      <c r="A60" s="6">
        <v>56</v>
      </c>
      <c r="B60" s="6" t="s">
        <v>305</v>
      </c>
      <c r="C60" s="6" t="s">
        <v>298</v>
      </c>
      <c r="D60" s="16" t="s">
        <v>143</v>
      </c>
      <c r="E60" s="16" t="s">
        <v>306</v>
      </c>
      <c r="F60" s="6" t="s">
        <v>70</v>
      </c>
      <c r="G60" s="6" t="s">
        <v>70</v>
      </c>
      <c r="H60" s="6">
        <v>1</v>
      </c>
      <c r="I60" s="6" t="s">
        <v>307</v>
      </c>
      <c r="J60" s="6" t="s">
        <v>280</v>
      </c>
      <c r="K60" s="6">
        <v>1</v>
      </c>
      <c r="L60" s="42"/>
    </row>
    <row r="61" spans="1:14" x14ac:dyDescent="0.25">
      <c r="A61" s="6">
        <v>57</v>
      </c>
      <c r="B61" s="6" t="s">
        <v>702</v>
      </c>
      <c r="C61" s="6" t="s">
        <v>703</v>
      </c>
      <c r="D61" s="16" t="s">
        <v>143</v>
      </c>
      <c r="E61" s="6">
        <v>1003565300</v>
      </c>
      <c r="F61" s="6" t="s">
        <v>70</v>
      </c>
      <c r="G61" s="6" t="s">
        <v>70</v>
      </c>
      <c r="H61" s="6">
        <v>1</v>
      </c>
      <c r="I61" s="6" t="s">
        <v>704</v>
      </c>
      <c r="J61" s="6" t="s">
        <v>705</v>
      </c>
      <c r="K61" s="6">
        <v>1</v>
      </c>
      <c r="L61" s="42"/>
    </row>
    <row r="62" spans="1:14" x14ac:dyDescent="0.25">
      <c r="A62" s="6">
        <v>58</v>
      </c>
      <c r="B62" s="6" t="s">
        <v>713</v>
      </c>
      <c r="C62" s="6" t="s">
        <v>714</v>
      </c>
      <c r="D62" s="16" t="s">
        <v>143</v>
      </c>
      <c r="E62" s="6">
        <v>1003820666</v>
      </c>
      <c r="F62" s="6" t="s">
        <v>70</v>
      </c>
      <c r="G62" s="6" t="s">
        <v>70</v>
      </c>
      <c r="H62" s="6">
        <v>1</v>
      </c>
      <c r="I62" s="6" t="s">
        <v>715</v>
      </c>
      <c r="J62" s="6" t="s">
        <v>705</v>
      </c>
      <c r="K62" s="6">
        <v>1</v>
      </c>
      <c r="L62" s="42"/>
    </row>
    <row r="63" spans="1:14" x14ac:dyDescent="0.25">
      <c r="A63" s="6">
        <v>59</v>
      </c>
      <c r="B63" s="6" t="s">
        <v>716</v>
      </c>
      <c r="C63" s="6" t="s">
        <v>717</v>
      </c>
      <c r="D63" s="16" t="s">
        <v>143</v>
      </c>
      <c r="E63" s="6">
        <v>102792858</v>
      </c>
      <c r="F63" s="6" t="s">
        <v>70</v>
      </c>
      <c r="G63" s="6" t="s">
        <v>70</v>
      </c>
      <c r="H63" s="6">
        <v>1</v>
      </c>
      <c r="I63" s="6" t="s">
        <v>715</v>
      </c>
      <c r="J63" s="6" t="s">
        <v>705</v>
      </c>
      <c r="K63" s="6">
        <v>1</v>
      </c>
      <c r="L63" s="42"/>
    </row>
    <row r="64" spans="1:14" x14ac:dyDescent="0.25">
      <c r="A64" s="6">
        <v>60</v>
      </c>
      <c r="B64" s="6" t="s">
        <v>716</v>
      </c>
      <c r="C64" s="6" t="s">
        <v>717</v>
      </c>
      <c r="D64" s="16" t="s">
        <v>143</v>
      </c>
      <c r="E64" s="6">
        <v>102792858</v>
      </c>
      <c r="F64" s="6" t="s">
        <v>70</v>
      </c>
      <c r="G64" s="6" t="s">
        <v>70</v>
      </c>
      <c r="H64" s="6">
        <v>1</v>
      </c>
      <c r="I64" s="6" t="s">
        <v>715</v>
      </c>
      <c r="J64" s="6" t="s">
        <v>705</v>
      </c>
      <c r="K64" s="6">
        <v>1</v>
      </c>
      <c r="L64" s="42"/>
    </row>
    <row r="65" spans="1:12" x14ac:dyDescent="0.25">
      <c r="A65" s="6">
        <v>61</v>
      </c>
      <c r="B65" s="6" t="s">
        <v>719</v>
      </c>
      <c r="C65" s="6" t="s">
        <v>453</v>
      </c>
      <c r="D65" s="16" t="s">
        <v>408</v>
      </c>
      <c r="E65" s="6">
        <v>664695</v>
      </c>
      <c r="F65" s="6" t="s">
        <v>70</v>
      </c>
      <c r="G65" s="4">
        <v>46997</v>
      </c>
      <c r="H65" s="6">
        <v>1</v>
      </c>
      <c r="I65" s="6" t="s">
        <v>357</v>
      </c>
      <c r="J65" s="6" t="s">
        <v>705</v>
      </c>
      <c r="K65" s="6">
        <v>1</v>
      </c>
      <c r="L65" s="42"/>
    </row>
    <row r="66" spans="1:12" x14ac:dyDescent="0.25">
      <c r="A66" s="6">
        <v>62</v>
      </c>
      <c r="B66" s="6" t="s">
        <v>723</v>
      </c>
      <c r="C66" s="6" t="s">
        <v>721</v>
      </c>
      <c r="D66" s="16" t="s">
        <v>11</v>
      </c>
      <c r="E66" s="6" t="s">
        <v>726</v>
      </c>
      <c r="F66" s="6" t="s">
        <v>70</v>
      </c>
      <c r="G66" s="3">
        <v>46811</v>
      </c>
      <c r="H66" s="6">
        <v>1</v>
      </c>
      <c r="I66" s="6" t="s">
        <v>390</v>
      </c>
      <c r="J66" s="6" t="s">
        <v>705</v>
      </c>
      <c r="K66" s="6">
        <v>1</v>
      </c>
      <c r="L66" s="42"/>
    </row>
    <row r="67" spans="1:12" x14ac:dyDescent="0.25">
      <c r="A67" s="6">
        <v>63</v>
      </c>
      <c r="B67" s="6" t="s">
        <v>724</v>
      </c>
      <c r="C67" s="6" t="s">
        <v>721</v>
      </c>
      <c r="D67" s="16" t="s">
        <v>11</v>
      </c>
      <c r="E67" s="6" t="s">
        <v>467</v>
      </c>
      <c r="F67" s="6" t="s">
        <v>70</v>
      </c>
      <c r="G67" s="3">
        <v>44530</v>
      </c>
      <c r="H67" s="6">
        <v>1</v>
      </c>
      <c r="I67" s="6" t="s">
        <v>390</v>
      </c>
      <c r="J67" s="6" t="s">
        <v>705</v>
      </c>
      <c r="K67" s="6">
        <v>1</v>
      </c>
      <c r="L67" s="42"/>
    </row>
    <row r="68" spans="1:12" x14ac:dyDescent="0.25">
      <c r="A68" s="6">
        <v>64</v>
      </c>
      <c r="B68" s="6" t="s">
        <v>725</v>
      </c>
      <c r="C68" s="6" t="s">
        <v>721</v>
      </c>
      <c r="D68" s="16" t="s">
        <v>11</v>
      </c>
      <c r="E68" s="6" t="s">
        <v>727</v>
      </c>
      <c r="F68" s="6" t="s">
        <v>70</v>
      </c>
      <c r="G68" s="3">
        <v>44620</v>
      </c>
      <c r="H68" s="6">
        <v>1</v>
      </c>
      <c r="I68" s="6" t="s">
        <v>390</v>
      </c>
      <c r="J68" s="6" t="s">
        <v>705</v>
      </c>
      <c r="K68" s="6">
        <v>1</v>
      </c>
      <c r="L68" s="42"/>
    </row>
    <row r="69" spans="1:12" x14ac:dyDescent="0.25">
      <c r="A69" s="6">
        <v>65</v>
      </c>
      <c r="B69" s="6" t="s">
        <v>720</v>
      </c>
      <c r="C69" s="6" t="s">
        <v>721</v>
      </c>
      <c r="D69" s="16" t="s">
        <v>722</v>
      </c>
      <c r="E69" s="6" t="s">
        <v>728</v>
      </c>
      <c r="F69" s="6" t="s">
        <v>70</v>
      </c>
      <c r="G69" s="4">
        <v>45870</v>
      </c>
      <c r="H69" s="6">
        <v>1</v>
      </c>
      <c r="I69" s="6" t="s">
        <v>390</v>
      </c>
      <c r="J69" s="6" t="s">
        <v>705</v>
      </c>
      <c r="K69" s="6">
        <v>1</v>
      </c>
      <c r="L69" s="42"/>
    </row>
    <row r="70" spans="1:12" x14ac:dyDescent="0.25">
      <c r="A70" s="6">
        <v>66</v>
      </c>
      <c r="B70" s="6" t="s">
        <v>720</v>
      </c>
      <c r="C70" s="6" t="s">
        <v>721</v>
      </c>
      <c r="D70" s="16" t="s">
        <v>722</v>
      </c>
      <c r="E70" s="6" t="s">
        <v>729</v>
      </c>
      <c r="F70" s="6" t="s">
        <v>70</v>
      </c>
      <c r="G70" s="4">
        <v>46023</v>
      </c>
      <c r="H70" s="6">
        <v>1</v>
      </c>
      <c r="I70" s="6" t="s">
        <v>390</v>
      </c>
      <c r="J70" s="6" t="s">
        <v>705</v>
      </c>
      <c r="K70" s="6">
        <v>1</v>
      </c>
      <c r="L70" s="42"/>
    </row>
    <row r="71" spans="1:12" x14ac:dyDescent="0.25">
      <c r="A71" s="6">
        <v>67</v>
      </c>
      <c r="B71" s="6" t="s">
        <v>317</v>
      </c>
      <c r="C71" s="6" t="s">
        <v>703</v>
      </c>
      <c r="D71" s="16" t="s">
        <v>730</v>
      </c>
      <c r="E71" s="6" t="s">
        <v>319</v>
      </c>
      <c r="F71" s="6" t="s">
        <v>70</v>
      </c>
      <c r="G71" s="6" t="s">
        <v>70</v>
      </c>
      <c r="H71" s="6">
        <v>1</v>
      </c>
      <c r="I71" s="6" t="s">
        <v>390</v>
      </c>
      <c r="J71" s="6" t="s">
        <v>705</v>
      </c>
      <c r="K71" s="6">
        <v>1</v>
      </c>
      <c r="L71" s="42"/>
    </row>
    <row r="72" spans="1:12" x14ac:dyDescent="0.25">
      <c r="A72" s="6">
        <v>68</v>
      </c>
      <c r="B72" s="6" t="s">
        <v>317</v>
      </c>
      <c r="C72" s="6" t="s">
        <v>703</v>
      </c>
      <c r="D72" s="16" t="s">
        <v>730</v>
      </c>
      <c r="E72" s="6" t="s">
        <v>391</v>
      </c>
      <c r="F72" s="6" t="s">
        <v>70</v>
      </c>
      <c r="G72" s="6" t="s">
        <v>70</v>
      </c>
      <c r="H72" s="6">
        <v>1</v>
      </c>
      <c r="I72" s="6" t="s">
        <v>390</v>
      </c>
      <c r="J72" s="6" t="s">
        <v>705</v>
      </c>
      <c r="K72" s="6">
        <v>1</v>
      </c>
      <c r="L72" s="42"/>
    </row>
    <row r="73" spans="1:12" x14ac:dyDescent="0.25">
      <c r="A73" s="6">
        <v>69</v>
      </c>
      <c r="B73" s="6" t="s">
        <v>731</v>
      </c>
      <c r="C73" s="6" t="s">
        <v>732</v>
      </c>
      <c r="D73" s="16"/>
      <c r="E73" s="6" t="s">
        <v>733</v>
      </c>
      <c r="F73" s="6" t="s">
        <v>70</v>
      </c>
      <c r="G73" s="6" t="s">
        <v>70</v>
      </c>
      <c r="H73" s="6">
        <v>1</v>
      </c>
      <c r="I73" s="6" t="s">
        <v>372</v>
      </c>
      <c r="J73" s="6" t="s">
        <v>705</v>
      </c>
      <c r="K73" s="6">
        <v>1</v>
      </c>
      <c r="L73" s="42"/>
    </row>
    <row r="74" spans="1:12" x14ac:dyDescent="0.25">
      <c r="A74" s="6">
        <v>70</v>
      </c>
      <c r="B74" s="6" t="s">
        <v>734</v>
      </c>
      <c r="C74" s="6" t="s">
        <v>735</v>
      </c>
      <c r="D74" s="16" t="s">
        <v>143</v>
      </c>
      <c r="E74" s="6">
        <v>102203511</v>
      </c>
      <c r="F74" s="6" t="s">
        <v>70</v>
      </c>
      <c r="G74" s="6" t="s">
        <v>70</v>
      </c>
      <c r="H74" s="6">
        <v>1</v>
      </c>
      <c r="I74" s="6" t="s">
        <v>736</v>
      </c>
      <c r="J74" s="6" t="s">
        <v>280</v>
      </c>
      <c r="K74" s="6">
        <v>1</v>
      </c>
      <c r="L74" s="42"/>
    </row>
    <row r="75" spans="1:12" x14ac:dyDescent="0.25">
      <c r="A75" s="6">
        <v>71</v>
      </c>
      <c r="B75" s="6" t="s">
        <v>737</v>
      </c>
      <c r="C75" s="6" t="s">
        <v>738</v>
      </c>
      <c r="D75" s="16" t="s">
        <v>143</v>
      </c>
      <c r="E75" s="6">
        <v>1002653012</v>
      </c>
      <c r="F75" s="6" t="s">
        <v>70</v>
      </c>
      <c r="G75" s="6" t="s">
        <v>70</v>
      </c>
      <c r="H75" s="6">
        <v>1</v>
      </c>
      <c r="I75" s="6" t="s">
        <v>739</v>
      </c>
      <c r="J75" s="6" t="s">
        <v>280</v>
      </c>
      <c r="K75" s="6">
        <v>1</v>
      </c>
      <c r="L75" s="42"/>
    </row>
    <row r="76" spans="1:12" x14ac:dyDescent="0.25">
      <c r="A76" s="6">
        <v>72</v>
      </c>
      <c r="B76" s="6" t="s">
        <v>740</v>
      </c>
      <c r="C76" s="6"/>
      <c r="D76" s="16" t="s">
        <v>143</v>
      </c>
      <c r="E76" s="6">
        <v>102659202</v>
      </c>
      <c r="F76" s="6" t="s">
        <v>70</v>
      </c>
      <c r="G76" s="6" t="s">
        <v>70</v>
      </c>
      <c r="H76" s="6">
        <v>1</v>
      </c>
      <c r="I76" s="6" t="s">
        <v>715</v>
      </c>
      <c r="J76" s="6" t="s">
        <v>280</v>
      </c>
      <c r="K76" s="6">
        <v>1</v>
      </c>
      <c r="L76" s="42"/>
    </row>
    <row r="77" spans="1:12" x14ac:dyDescent="0.25">
      <c r="A77" s="6">
        <v>73</v>
      </c>
      <c r="B77" s="6" t="s">
        <v>741</v>
      </c>
      <c r="C77" s="6" t="s">
        <v>742</v>
      </c>
      <c r="D77" s="16" t="s">
        <v>143</v>
      </c>
      <c r="E77" s="6">
        <v>1003178131</v>
      </c>
      <c r="F77" s="6" t="s">
        <v>70</v>
      </c>
      <c r="G77" s="6" t="s">
        <v>70</v>
      </c>
      <c r="H77" s="6">
        <v>1</v>
      </c>
      <c r="I77" s="6" t="s">
        <v>743</v>
      </c>
      <c r="J77" s="6" t="s">
        <v>280</v>
      </c>
      <c r="K77" s="6">
        <v>1</v>
      </c>
      <c r="L77" s="42"/>
    </row>
    <row r="78" spans="1:12" x14ac:dyDescent="0.25">
      <c r="A78" s="6">
        <v>74</v>
      </c>
      <c r="B78" s="6" t="s">
        <v>744</v>
      </c>
      <c r="C78" s="6" t="s">
        <v>742</v>
      </c>
      <c r="D78" s="16" t="s">
        <v>143</v>
      </c>
      <c r="E78" s="6">
        <v>1003199028</v>
      </c>
      <c r="F78" s="6" t="s">
        <v>70</v>
      </c>
      <c r="G78" s="6" t="s">
        <v>70</v>
      </c>
      <c r="H78" s="6">
        <v>1</v>
      </c>
      <c r="I78" s="6" t="s">
        <v>745</v>
      </c>
      <c r="J78" s="6" t="s">
        <v>280</v>
      </c>
      <c r="K78" s="6">
        <v>1</v>
      </c>
      <c r="L78" s="42"/>
    </row>
    <row r="79" spans="1:12" x14ac:dyDescent="0.25">
      <c r="A79" s="6">
        <v>75</v>
      </c>
      <c r="B79" s="6" t="s">
        <v>746</v>
      </c>
      <c r="C79" s="6" t="s">
        <v>732</v>
      </c>
      <c r="D79" s="6"/>
      <c r="E79" s="6"/>
      <c r="F79" s="6" t="s">
        <v>70</v>
      </c>
      <c r="G79" s="6" t="s">
        <v>70</v>
      </c>
      <c r="H79" s="6">
        <v>1</v>
      </c>
      <c r="I79" s="6" t="s">
        <v>747</v>
      </c>
      <c r="J79" s="6" t="s">
        <v>280</v>
      </c>
      <c r="K79" s="6">
        <v>1</v>
      </c>
      <c r="L79" s="42"/>
    </row>
    <row r="80" spans="1:12" x14ac:dyDescent="0.25">
      <c r="A80" s="6">
        <v>76</v>
      </c>
      <c r="B80" s="6" t="s">
        <v>737</v>
      </c>
      <c r="C80" s="6" t="s">
        <v>732</v>
      </c>
      <c r="D80" s="6"/>
      <c r="E80" s="6"/>
      <c r="F80" s="6" t="s">
        <v>70</v>
      </c>
      <c r="G80" s="6" t="s">
        <v>70</v>
      </c>
      <c r="H80" s="6">
        <v>1</v>
      </c>
      <c r="I80" s="6" t="s">
        <v>747</v>
      </c>
      <c r="J80" s="6" t="s">
        <v>280</v>
      </c>
      <c r="K80" s="6">
        <v>1</v>
      </c>
      <c r="L80" s="42"/>
    </row>
    <row r="81" spans="1:1" x14ac:dyDescent="0.25">
      <c r="A81" s="5"/>
    </row>
    <row r="82" spans="1:1" x14ac:dyDescent="0.25">
      <c r="A82" s="5"/>
    </row>
  </sheetData>
  <sortState xmlns:xlrd2="http://schemas.microsoft.com/office/spreadsheetml/2017/richdata2" ref="A5:J65">
    <sortCondition ref="B5"/>
  </sortState>
  <mergeCells count="9">
    <mergeCell ref="K36:K37"/>
    <mergeCell ref="K39:K42"/>
    <mergeCell ref="K46:K55"/>
    <mergeCell ref="K57:K58"/>
    <mergeCell ref="A2:K2"/>
    <mergeCell ref="K6:K17"/>
    <mergeCell ref="K18:K19"/>
    <mergeCell ref="K28:K30"/>
    <mergeCell ref="K31:K32"/>
  </mergeCells>
  <phoneticPr fontId="9" type="noConversion"/>
  <pageMargins left="0.7" right="0.7" top="0.75" bottom="0.75" header="0.3" footer="0.3"/>
  <pageSetup orientation="landscape" horizontalDpi="0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1:E26"/>
  <sheetViews>
    <sheetView workbookViewId="0">
      <selection activeCell="H11" sqref="H11"/>
    </sheetView>
  </sheetViews>
  <sheetFormatPr baseColWidth="10" defaultRowHeight="15" x14ac:dyDescent="0.25"/>
  <cols>
    <col min="1" max="1" width="3.28515625" customWidth="1"/>
    <col min="3" max="3" width="17.140625" customWidth="1"/>
    <col min="5" max="5" width="13.140625" customWidth="1"/>
  </cols>
  <sheetData>
    <row r="1" spans="2:5" ht="31.9" customHeight="1" x14ac:dyDescent="0.3">
      <c r="B1" s="95" t="s">
        <v>591</v>
      </c>
      <c r="C1" s="95"/>
      <c r="D1" s="95"/>
      <c r="E1" s="95"/>
    </row>
    <row r="2" spans="2:5" x14ac:dyDescent="0.25">
      <c r="B2" s="65" t="s">
        <v>547</v>
      </c>
      <c r="C2" s="66" t="s">
        <v>470</v>
      </c>
      <c r="D2" s="66" t="s">
        <v>471</v>
      </c>
      <c r="E2" s="67" t="s">
        <v>548</v>
      </c>
    </row>
    <row r="3" spans="2:5" x14ac:dyDescent="0.25">
      <c r="B3" s="2" t="s">
        <v>549</v>
      </c>
      <c r="C3" s="2" t="s">
        <v>550</v>
      </c>
      <c r="D3" s="2">
        <v>1</v>
      </c>
      <c r="E3" s="2" t="s">
        <v>551</v>
      </c>
    </row>
    <row r="4" spans="2:5" x14ac:dyDescent="0.25">
      <c r="B4" s="2" t="s">
        <v>552</v>
      </c>
      <c r="C4" s="2" t="s">
        <v>553</v>
      </c>
      <c r="D4" s="2">
        <v>1</v>
      </c>
      <c r="E4" s="2" t="s">
        <v>554</v>
      </c>
    </row>
    <row r="5" spans="2:5" x14ac:dyDescent="0.25">
      <c r="B5" s="2" t="s">
        <v>555</v>
      </c>
      <c r="C5" s="2" t="s">
        <v>556</v>
      </c>
      <c r="D5" s="2">
        <v>1</v>
      </c>
      <c r="E5" s="2" t="s">
        <v>557</v>
      </c>
    </row>
    <row r="6" spans="2:5" x14ac:dyDescent="0.25">
      <c r="B6" s="2" t="s">
        <v>558</v>
      </c>
      <c r="C6" s="2" t="s">
        <v>559</v>
      </c>
      <c r="D6" s="2">
        <v>1</v>
      </c>
      <c r="E6" s="2" t="s">
        <v>551</v>
      </c>
    </row>
    <row r="7" spans="2:5" x14ac:dyDescent="0.25">
      <c r="B7" s="2" t="s">
        <v>560</v>
      </c>
      <c r="C7" s="2" t="s">
        <v>561</v>
      </c>
      <c r="D7" s="2">
        <v>1</v>
      </c>
      <c r="E7" s="2" t="s">
        <v>554</v>
      </c>
    </row>
    <row r="8" spans="2:5" x14ac:dyDescent="0.25">
      <c r="B8" s="2" t="s">
        <v>562</v>
      </c>
      <c r="C8" s="2" t="s">
        <v>563</v>
      </c>
      <c r="D8" s="2">
        <v>1</v>
      </c>
      <c r="E8" s="2" t="s">
        <v>554</v>
      </c>
    </row>
    <row r="9" spans="2:5" x14ac:dyDescent="0.25">
      <c r="B9" s="2" t="s">
        <v>564</v>
      </c>
      <c r="C9" s="2" t="s">
        <v>565</v>
      </c>
      <c r="D9" s="2">
        <v>1</v>
      </c>
      <c r="E9" s="2" t="s">
        <v>554</v>
      </c>
    </row>
    <row r="10" spans="2:5" x14ac:dyDescent="0.25">
      <c r="B10" s="14">
        <v>67222726</v>
      </c>
      <c r="C10" s="2" t="s">
        <v>566</v>
      </c>
      <c r="D10" s="2">
        <v>1</v>
      </c>
      <c r="E10" s="2" t="s">
        <v>551</v>
      </c>
    </row>
    <row r="11" spans="2:5" x14ac:dyDescent="0.25">
      <c r="B11" s="14">
        <v>53223677</v>
      </c>
      <c r="C11" s="2" t="s">
        <v>567</v>
      </c>
      <c r="D11" s="2">
        <v>1</v>
      </c>
      <c r="E11" s="2" t="s">
        <v>554</v>
      </c>
    </row>
    <row r="12" spans="2:5" x14ac:dyDescent="0.25">
      <c r="B12" s="2" t="s">
        <v>568</v>
      </c>
      <c r="C12" s="2" t="s">
        <v>569</v>
      </c>
      <c r="D12" s="2">
        <v>4</v>
      </c>
      <c r="E12" s="2" t="s">
        <v>551</v>
      </c>
    </row>
    <row r="13" spans="2:5" x14ac:dyDescent="0.25">
      <c r="B13" s="2" t="s">
        <v>570</v>
      </c>
      <c r="C13" s="2" t="s">
        <v>569</v>
      </c>
      <c r="D13" s="2">
        <v>1</v>
      </c>
      <c r="E13" s="2" t="s">
        <v>551</v>
      </c>
    </row>
    <row r="14" spans="2:5" x14ac:dyDescent="0.25">
      <c r="B14" s="2" t="s">
        <v>571</v>
      </c>
      <c r="C14" s="2" t="s">
        <v>572</v>
      </c>
      <c r="D14" s="2">
        <v>1</v>
      </c>
      <c r="E14" s="2" t="s">
        <v>551</v>
      </c>
    </row>
    <row r="15" spans="2:5" x14ac:dyDescent="0.25">
      <c r="B15" s="14">
        <v>3289027</v>
      </c>
      <c r="C15" s="2" t="s">
        <v>572</v>
      </c>
      <c r="D15" s="2">
        <v>1</v>
      </c>
      <c r="E15" s="2" t="s">
        <v>551</v>
      </c>
    </row>
    <row r="16" spans="2:5" x14ac:dyDescent="0.25">
      <c r="B16" s="14" t="s">
        <v>573</v>
      </c>
      <c r="C16" s="2" t="s">
        <v>556</v>
      </c>
      <c r="D16" s="2">
        <v>1</v>
      </c>
      <c r="E16" s="2" t="s">
        <v>574</v>
      </c>
    </row>
    <row r="17" spans="2:5" x14ac:dyDescent="0.25">
      <c r="B17" s="14">
        <v>53223063</v>
      </c>
      <c r="C17" s="2" t="s">
        <v>575</v>
      </c>
      <c r="D17" s="2">
        <v>1</v>
      </c>
      <c r="E17" s="2" t="s">
        <v>554</v>
      </c>
    </row>
    <row r="18" spans="2:5" x14ac:dyDescent="0.25">
      <c r="B18" s="14" t="s">
        <v>576</v>
      </c>
      <c r="C18" s="2" t="s">
        <v>577</v>
      </c>
      <c r="D18" s="2">
        <v>1</v>
      </c>
      <c r="E18" s="2" t="s">
        <v>554</v>
      </c>
    </row>
    <row r="19" spans="2:5" x14ac:dyDescent="0.25">
      <c r="B19" s="14" t="s">
        <v>578</v>
      </c>
      <c r="C19" s="2" t="s">
        <v>579</v>
      </c>
      <c r="D19" s="2">
        <v>1</v>
      </c>
      <c r="E19" s="2" t="s">
        <v>551</v>
      </c>
    </row>
    <row r="20" spans="2:5" x14ac:dyDescent="0.25">
      <c r="B20" s="14" t="s">
        <v>580</v>
      </c>
      <c r="C20" s="2" t="s">
        <v>581</v>
      </c>
      <c r="D20" s="2">
        <v>1</v>
      </c>
      <c r="E20" s="2" t="s">
        <v>551</v>
      </c>
    </row>
    <row r="21" spans="2:5" x14ac:dyDescent="0.25">
      <c r="B21" s="14" t="s">
        <v>582</v>
      </c>
      <c r="C21" s="2" t="s">
        <v>583</v>
      </c>
      <c r="D21" s="2">
        <v>1</v>
      </c>
      <c r="E21" s="2" t="s">
        <v>551</v>
      </c>
    </row>
    <row r="22" spans="2:5" x14ac:dyDescent="0.25">
      <c r="B22" s="27" t="s">
        <v>584</v>
      </c>
      <c r="C22" s="2" t="s">
        <v>585</v>
      </c>
      <c r="D22" s="2">
        <v>1</v>
      </c>
      <c r="E22" s="2" t="s">
        <v>554</v>
      </c>
    </row>
    <row r="23" spans="2:5" x14ac:dyDescent="0.25">
      <c r="B23" s="14" t="s">
        <v>586</v>
      </c>
      <c r="C23" s="2" t="s">
        <v>587</v>
      </c>
      <c r="D23" s="2">
        <v>1</v>
      </c>
      <c r="E23" s="2" t="s">
        <v>554</v>
      </c>
    </row>
    <row r="24" spans="2:5" x14ac:dyDescent="0.25">
      <c r="B24" s="14" t="s">
        <v>568</v>
      </c>
      <c r="C24" s="2" t="s">
        <v>588</v>
      </c>
      <c r="D24" s="2">
        <v>1</v>
      </c>
      <c r="E24" s="2" t="s">
        <v>554</v>
      </c>
    </row>
    <row r="25" spans="2:5" x14ac:dyDescent="0.25">
      <c r="B25" s="14" t="s">
        <v>568</v>
      </c>
      <c r="C25" s="2" t="s">
        <v>581</v>
      </c>
      <c r="D25" s="2">
        <v>1</v>
      </c>
      <c r="E25" s="2" t="s">
        <v>551</v>
      </c>
    </row>
    <row r="26" spans="2:5" x14ac:dyDescent="0.25">
      <c r="B26" s="14" t="s">
        <v>589</v>
      </c>
      <c r="C26" s="2" t="s">
        <v>590</v>
      </c>
      <c r="D26" s="2">
        <v>1</v>
      </c>
      <c r="E26" s="2" t="s">
        <v>551</v>
      </c>
    </row>
  </sheetData>
  <mergeCells count="1">
    <mergeCell ref="B1:E1"/>
  </mergeCells>
  <pageMargins left="0.7" right="0.7" top="0.75" bottom="0.75" header="0.3" footer="0.3"/>
  <pageSetup orientation="portrait" horizontalDpi="0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2:F143"/>
  <sheetViews>
    <sheetView topLeftCell="D27" workbookViewId="0">
      <selection activeCell="H14" sqref="H14"/>
    </sheetView>
  </sheetViews>
  <sheetFormatPr baseColWidth="10" defaultRowHeight="15" x14ac:dyDescent="0.25"/>
  <cols>
    <col min="1" max="1" width="3.42578125" customWidth="1"/>
    <col min="2" max="2" width="5.140625" customWidth="1"/>
    <col min="3" max="3" width="23.85546875" customWidth="1"/>
    <col min="4" max="4" width="18.42578125" customWidth="1"/>
    <col min="5" max="5" width="13.85546875" customWidth="1"/>
    <col min="6" max="6" width="6.5703125" customWidth="1"/>
  </cols>
  <sheetData>
    <row r="2" spans="2:6" x14ac:dyDescent="0.25">
      <c r="B2" s="96" t="s">
        <v>546</v>
      </c>
      <c r="C2" s="96"/>
      <c r="D2" s="96"/>
      <c r="E2" s="96"/>
      <c r="F2" s="96"/>
    </row>
    <row r="3" spans="2:6" ht="24" x14ac:dyDescent="0.25">
      <c r="B3" s="68" t="s">
        <v>1</v>
      </c>
      <c r="C3" s="69" t="s">
        <v>657</v>
      </c>
      <c r="D3" s="69" t="s">
        <v>545</v>
      </c>
      <c r="E3" s="69" t="s">
        <v>0</v>
      </c>
      <c r="F3" s="69" t="s">
        <v>31</v>
      </c>
    </row>
    <row r="4" spans="2:6" x14ac:dyDescent="0.25">
      <c r="B4" s="8">
        <v>1</v>
      </c>
      <c r="C4" s="2" t="s">
        <v>472</v>
      </c>
      <c r="D4" s="2" t="s">
        <v>473</v>
      </c>
      <c r="E4" s="2" t="s">
        <v>474</v>
      </c>
      <c r="F4" s="8">
        <v>2</v>
      </c>
    </row>
    <row r="5" spans="2:6" x14ac:dyDescent="0.25">
      <c r="B5" s="8">
        <v>2</v>
      </c>
      <c r="C5" s="2" t="s">
        <v>472</v>
      </c>
      <c r="D5" s="2" t="s">
        <v>475</v>
      </c>
      <c r="E5" s="2" t="s">
        <v>476</v>
      </c>
      <c r="F5" s="8">
        <v>5</v>
      </c>
    </row>
    <row r="6" spans="2:6" x14ac:dyDescent="0.25">
      <c r="B6" s="8">
        <v>3</v>
      </c>
      <c r="C6" s="2" t="s">
        <v>472</v>
      </c>
      <c r="D6" s="2" t="s">
        <v>475</v>
      </c>
      <c r="E6" s="2" t="s">
        <v>474</v>
      </c>
      <c r="F6" s="8">
        <v>3</v>
      </c>
    </row>
    <row r="7" spans="2:6" x14ac:dyDescent="0.25">
      <c r="B7" s="8">
        <v>4</v>
      </c>
      <c r="C7" s="2" t="s">
        <v>472</v>
      </c>
      <c r="D7" s="2" t="s">
        <v>475</v>
      </c>
      <c r="E7" s="2" t="s">
        <v>477</v>
      </c>
      <c r="F7" s="8">
        <v>1</v>
      </c>
    </row>
    <row r="8" spans="2:6" x14ac:dyDescent="0.25">
      <c r="B8" s="8">
        <v>5</v>
      </c>
      <c r="C8" s="2" t="s">
        <v>472</v>
      </c>
      <c r="D8" s="2" t="s">
        <v>478</v>
      </c>
      <c r="E8" s="2" t="s">
        <v>474</v>
      </c>
      <c r="F8" s="8">
        <v>1</v>
      </c>
    </row>
    <row r="9" spans="2:6" x14ac:dyDescent="0.25">
      <c r="B9" s="8">
        <v>6</v>
      </c>
      <c r="C9" s="2" t="s">
        <v>472</v>
      </c>
      <c r="D9" s="2" t="s">
        <v>479</v>
      </c>
      <c r="E9" s="2" t="s">
        <v>480</v>
      </c>
      <c r="F9" s="8">
        <v>2</v>
      </c>
    </row>
    <row r="10" spans="2:6" x14ac:dyDescent="0.25">
      <c r="B10" s="8">
        <v>7</v>
      </c>
      <c r="C10" s="2"/>
      <c r="D10" s="2" t="s">
        <v>479</v>
      </c>
      <c r="E10" s="2" t="s">
        <v>481</v>
      </c>
      <c r="F10" s="8">
        <v>1</v>
      </c>
    </row>
    <row r="11" spans="2:6" x14ac:dyDescent="0.25">
      <c r="B11" s="8">
        <v>8</v>
      </c>
      <c r="C11" s="2" t="s">
        <v>472</v>
      </c>
      <c r="D11" s="2" t="s">
        <v>482</v>
      </c>
      <c r="E11" s="2" t="s">
        <v>480</v>
      </c>
      <c r="F11" s="8">
        <v>4</v>
      </c>
    </row>
    <row r="12" spans="2:6" x14ac:dyDescent="0.25">
      <c r="B12" s="8">
        <v>9</v>
      </c>
      <c r="C12" s="2"/>
      <c r="D12" s="2" t="s">
        <v>482</v>
      </c>
      <c r="E12" s="2" t="s">
        <v>483</v>
      </c>
      <c r="F12" s="8">
        <v>1</v>
      </c>
    </row>
    <row r="13" spans="2:6" x14ac:dyDescent="0.25">
      <c r="B13" s="8">
        <v>10</v>
      </c>
      <c r="C13" s="2" t="s">
        <v>472</v>
      </c>
      <c r="D13" s="2" t="s">
        <v>484</v>
      </c>
      <c r="E13" s="2" t="s">
        <v>485</v>
      </c>
      <c r="F13" s="8">
        <v>8</v>
      </c>
    </row>
    <row r="14" spans="2:6" x14ac:dyDescent="0.25">
      <c r="B14" s="8">
        <v>11</v>
      </c>
      <c r="C14" s="2" t="s">
        <v>472</v>
      </c>
      <c r="D14" s="2" t="s">
        <v>484</v>
      </c>
      <c r="E14" s="2" t="s">
        <v>486</v>
      </c>
      <c r="F14" s="8">
        <v>2</v>
      </c>
    </row>
    <row r="15" spans="2:6" x14ac:dyDescent="0.25">
      <c r="B15" s="8">
        <v>12</v>
      </c>
      <c r="C15" s="2" t="s">
        <v>472</v>
      </c>
      <c r="D15" s="2" t="s">
        <v>484</v>
      </c>
      <c r="E15" s="2" t="s">
        <v>480</v>
      </c>
      <c r="F15" s="8">
        <v>11</v>
      </c>
    </row>
    <row r="16" spans="2:6" x14ac:dyDescent="0.25">
      <c r="B16" s="8">
        <v>13</v>
      </c>
      <c r="C16" s="2" t="s">
        <v>472</v>
      </c>
      <c r="D16" s="2" t="s">
        <v>484</v>
      </c>
      <c r="E16" s="2" t="s">
        <v>474</v>
      </c>
      <c r="F16" s="8">
        <v>2</v>
      </c>
    </row>
    <row r="17" spans="2:6" x14ac:dyDescent="0.25">
      <c r="B17" s="8">
        <v>14</v>
      </c>
      <c r="C17" s="2" t="s">
        <v>472</v>
      </c>
      <c r="D17" s="2" t="s">
        <v>484</v>
      </c>
      <c r="E17" s="2" t="s">
        <v>481</v>
      </c>
      <c r="F17" s="8">
        <v>3</v>
      </c>
    </row>
    <row r="18" spans="2:6" x14ac:dyDescent="0.25">
      <c r="B18" s="8">
        <v>15</v>
      </c>
      <c r="C18" s="2"/>
      <c r="D18" s="2" t="s">
        <v>484</v>
      </c>
      <c r="E18" s="2" t="s">
        <v>487</v>
      </c>
      <c r="F18" s="8">
        <v>1</v>
      </c>
    </row>
    <row r="19" spans="2:6" x14ac:dyDescent="0.25">
      <c r="B19" s="8">
        <v>16</v>
      </c>
      <c r="C19" s="2"/>
      <c r="D19" s="2" t="s">
        <v>484</v>
      </c>
      <c r="E19" s="2" t="s">
        <v>476</v>
      </c>
      <c r="F19" s="8">
        <v>1</v>
      </c>
    </row>
    <row r="20" spans="2:6" x14ac:dyDescent="0.25">
      <c r="B20" s="8">
        <v>17</v>
      </c>
      <c r="C20" s="2" t="s">
        <v>472</v>
      </c>
      <c r="D20" s="2" t="s">
        <v>488</v>
      </c>
      <c r="E20" s="2" t="s">
        <v>480</v>
      </c>
      <c r="F20" s="8">
        <v>4</v>
      </c>
    </row>
    <row r="21" spans="2:6" x14ac:dyDescent="0.25">
      <c r="B21" s="8">
        <v>18</v>
      </c>
      <c r="C21" s="2" t="s">
        <v>472</v>
      </c>
      <c r="D21" s="2" t="s">
        <v>489</v>
      </c>
      <c r="E21" s="2" t="s">
        <v>480</v>
      </c>
      <c r="F21" s="8">
        <v>4</v>
      </c>
    </row>
    <row r="22" spans="2:6" x14ac:dyDescent="0.25">
      <c r="B22" s="8">
        <v>19</v>
      </c>
      <c r="C22" s="2" t="s">
        <v>472</v>
      </c>
      <c r="D22" s="2" t="s">
        <v>489</v>
      </c>
      <c r="E22" s="2" t="s">
        <v>490</v>
      </c>
      <c r="F22" s="8">
        <v>2</v>
      </c>
    </row>
    <row r="23" spans="2:6" x14ac:dyDescent="0.25">
      <c r="B23" s="8">
        <v>20</v>
      </c>
      <c r="C23" s="2" t="s">
        <v>472</v>
      </c>
      <c r="D23" s="2" t="s">
        <v>489</v>
      </c>
      <c r="E23" s="2" t="s">
        <v>491</v>
      </c>
      <c r="F23" s="8">
        <v>2</v>
      </c>
    </row>
    <row r="24" spans="2:6" x14ac:dyDescent="0.25">
      <c r="B24" s="8">
        <v>21</v>
      </c>
      <c r="C24" s="2" t="s">
        <v>472</v>
      </c>
      <c r="D24" s="2" t="s">
        <v>492</v>
      </c>
      <c r="E24" s="2" t="s">
        <v>493</v>
      </c>
      <c r="F24" s="8">
        <v>10</v>
      </c>
    </row>
    <row r="25" spans="2:6" x14ac:dyDescent="0.25">
      <c r="B25" s="8">
        <v>22</v>
      </c>
      <c r="C25" s="2" t="s">
        <v>472</v>
      </c>
      <c r="D25" s="2" t="s">
        <v>492</v>
      </c>
      <c r="E25" s="2" t="s">
        <v>474</v>
      </c>
      <c r="F25" s="8">
        <v>2</v>
      </c>
    </row>
    <row r="26" spans="2:6" x14ac:dyDescent="0.25">
      <c r="B26" s="8">
        <v>23</v>
      </c>
      <c r="C26" s="2" t="s">
        <v>472</v>
      </c>
      <c r="D26" s="2" t="s">
        <v>492</v>
      </c>
      <c r="E26" s="2" t="s">
        <v>494</v>
      </c>
      <c r="F26" s="8">
        <v>4</v>
      </c>
    </row>
    <row r="27" spans="2:6" x14ac:dyDescent="0.25">
      <c r="B27" s="8">
        <v>24</v>
      </c>
      <c r="C27" s="2" t="s">
        <v>472</v>
      </c>
      <c r="D27" s="2" t="s">
        <v>495</v>
      </c>
      <c r="E27" s="2" t="s">
        <v>491</v>
      </c>
      <c r="F27" s="8">
        <v>2</v>
      </c>
    </row>
    <row r="28" spans="2:6" x14ac:dyDescent="0.25">
      <c r="B28" s="8">
        <v>25</v>
      </c>
      <c r="C28" s="2" t="s">
        <v>472</v>
      </c>
      <c r="D28" s="2" t="s">
        <v>495</v>
      </c>
      <c r="E28" s="2" t="s">
        <v>480</v>
      </c>
      <c r="F28" s="8">
        <v>1</v>
      </c>
    </row>
    <row r="29" spans="2:6" x14ac:dyDescent="0.25">
      <c r="B29" s="8">
        <v>26</v>
      </c>
      <c r="C29" s="2" t="s">
        <v>472</v>
      </c>
      <c r="D29" s="2" t="s">
        <v>495</v>
      </c>
      <c r="E29" s="2" t="s">
        <v>481</v>
      </c>
      <c r="F29" s="8">
        <v>1</v>
      </c>
    </row>
    <row r="30" spans="2:6" x14ac:dyDescent="0.25">
      <c r="B30" s="8">
        <v>27</v>
      </c>
      <c r="C30" s="2"/>
      <c r="D30" s="2" t="s">
        <v>495</v>
      </c>
      <c r="E30" s="2" t="s">
        <v>486</v>
      </c>
      <c r="F30" s="8">
        <v>2</v>
      </c>
    </row>
    <row r="31" spans="2:6" x14ac:dyDescent="0.25">
      <c r="B31" s="8">
        <v>28</v>
      </c>
      <c r="C31" s="2"/>
      <c r="D31" s="2" t="s">
        <v>496</v>
      </c>
      <c r="E31" s="2" t="s">
        <v>497</v>
      </c>
      <c r="F31" s="8">
        <v>6</v>
      </c>
    </row>
    <row r="32" spans="2:6" x14ac:dyDescent="0.25">
      <c r="B32" s="8">
        <v>29</v>
      </c>
      <c r="C32" s="2" t="s">
        <v>472</v>
      </c>
      <c r="D32" s="2" t="s">
        <v>496</v>
      </c>
      <c r="E32" s="2" t="s">
        <v>480</v>
      </c>
      <c r="F32" s="8">
        <v>1</v>
      </c>
    </row>
    <row r="33" spans="2:6" x14ac:dyDescent="0.25">
      <c r="B33" s="8">
        <v>30</v>
      </c>
      <c r="C33" s="2" t="s">
        <v>472</v>
      </c>
      <c r="D33" s="2" t="s">
        <v>498</v>
      </c>
      <c r="E33" s="2" t="s">
        <v>494</v>
      </c>
      <c r="F33" s="8">
        <v>1</v>
      </c>
    </row>
    <row r="34" spans="2:6" x14ac:dyDescent="0.25">
      <c r="B34" s="8">
        <v>31</v>
      </c>
      <c r="C34" s="2" t="s">
        <v>472</v>
      </c>
      <c r="D34" s="2" t="s">
        <v>498</v>
      </c>
      <c r="E34" s="2" t="s">
        <v>491</v>
      </c>
      <c r="F34" s="8">
        <v>3</v>
      </c>
    </row>
    <row r="35" spans="2:6" x14ac:dyDescent="0.25">
      <c r="B35" s="8">
        <v>32</v>
      </c>
      <c r="C35" s="2" t="s">
        <v>499</v>
      </c>
      <c r="D35" s="2" t="s">
        <v>479</v>
      </c>
      <c r="E35" s="2" t="s">
        <v>485</v>
      </c>
      <c r="F35" s="8">
        <v>4</v>
      </c>
    </row>
    <row r="36" spans="2:6" x14ac:dyDescent="0.25">
      <c r="B36" s="8">
        <v>33</v>
      </c>
      <c r="C36" s="2" t="s">
        <v>499</v>
      </c>
      <c r="D36" s="2" t="s">
        <v>479</v>
      </c>
      <c r="E36" s="2" t="s">
        <v>486</v>
      </c>
      <c r="F36" s="8">
        <v>2</v>
      </c>
    </row>
    <row r="37" spans="2:6" x14ac:dyDescent="0.25">
      <c r="B37" s="8">
        <v>34</v>
      </c>
      <c r="C37" s="2" t="s">
        <v>499</v>
      </c>
      <c r="D37" s="2" t="s">
        <v>468</v>
      </c>
      <c r="E37" s="2" t="s">
        <v>485</v>
      </c>
      <c r="F37" s="8">
        <v>5</v>
      </c>
    </row>
    <row r="38" spans="2:6" x14ac:dyDescent="0.25">
      <c r="B38" s="8">
        <v>35</v>
      </c>
      <c r="C38" s="2" t="s">
        <v>499</v>
      </c>
      <c r="D38" s="2" t="s">
        <v>468</v>
      </c>
      <c r="E38" s="2" t="s">
        <v>474</v>
      </c>
      <c r="F38" s="8">
        <v>1</v>
      </c>
    </row>
    <row r="39" spans="2:6" x14ac:dyDescent="0.25">
      <c r="B39" s="8">
        <v>36</v>
      </c>
      <c r="C39" s="2" t="s">
        <v>499</v>
      </c>
      <c r="D39" s="2" t="s">
        <v>489</v>
      </c>
      <c r="E39" s="2" t="s">
        <v>485</v>
      </c>
      <c r="F39" s="8">
        <v>3</v>
      </c>
    </row>
    <row r="40" spans="2:6" x14ac:dyDescent="0.25">
      <c r="B40" s="8">
        <v>37</v>
      </c>
      <c r="C40" s="2" t="s">
        <v>499</v>
      </c>
      <c r="D40" s="2" t="s">
        <v>489</v>
      </c>
      <c r="E40" s="2" t="s">
        <v>494</v>
      </c>
      <c r="F40" s="8">
        <v>1</v>
      </c>
    </row>
    <row r="41" spans="2:6" x14ac:dyDescent="0.25">
      <c r="B41" s="8">
        <v>38</v>
      </c>
      <c r="C41" s="2" t="s">
        <v>499</v>
      </c>
      <c r="D41" s="2" t="s">
        <v>489</v>
      </c>
      <c r="E41" s="2" t="s">
        <v>500</v>
      </c>
      <c r="F41" s="8">
        <v>1</v>
      </c>
    </row>
    <row r="42" spans="2:6" x14ac:dyDescent="0.25">
      <c r="B42" s="8">
        <v>39</v>
      </c>
      <c r="C42" s="2" t="s">
        <v>499</v>
      </c>
      <c r="D42" s="2" t="s">
        <v>492</v>
      </c>
      <c r="E42" s="2" t="s">
        <v>501</v>
      </c>
      <c r="F42" s="8">
        <v>15</v>
      </c>
    </row>
    <row r="43" spans="2:6" x14ac:dyDescent="0.25">
      <c r="B43" s="8">
        <v>40</v>
      </c>
      <c r="C43" s="2" t="s">
        <v>499</v>
      </c>
      <c r="D43" s="2" t="s">
        <v>492</v>
      </c>
      <c r="E43" s="2" t="s">
        <v>485</v>
      </c>
      <c r="F43" s="8">
        <v>3</v>
      </c>
    </row>
    <row r="44" spans="2:6" x14ac:dyDescent="0.25">
      <c r="B44" s="8">
        <v>41</v>
      </c>
      <c r="C44" s="2" t="s">
        <v>499</v>
      </c>
      <c r="D44" s="2" t="s">
        <v>492</v>
      </c>
      <c r="E44" s="2" t="s">
        <v>476</v>
      </c>
      <c r="F44" s="8">
        <v>1</v>
      </c>
    </row>
    <row r="45" spans="2:6" x14ac:dyDescent="0.25">
      <c r="B45" s="8">
        <v>42</v>
      </c>
      <c r="C45" s="2" t="s">
        <v>499</v>
      </c>
      <c r="D45" s="2" t="s">
        <v>492</v>
      </c>
      <c r="E45" s="2" t="s">
        <v>480</v>
      </c>
      <c r="F45" s="8">
        <v>1</v>
      </c>
    </row>
    <row r="46" spans="2:6" x14ac:dyDescent="0.25">
      <c r="B46" s="8">
        <v>43</v>
      </c>
      <c r="C46" s="2" t="s">
        <v>499</v>
      </c>
      <c r="D46" s="2" t="s">
        <v>495</v>
      </c>
      <c r="E46" s="2" t="s">
        <v>480</v>
      </c>
      <c r="F46" s="8">
        <v>2</v>
      </c>
    </row>
    <row r="47" spans="2:6" x14ac:dyDescent="0.25">
      <c r="B47" s="8">
        <v>44</v>
      </c>
      <c r="C47" s="2" t="s">
        <v>499</v>
      </c>
      <c r="D47" s="2" t="s">
        <v>495</v>
      </c>
      <c r="E47" s="2" t="s">
        <v>485</v>
      </c>
      <c r="F47" s="8">
        <v>11</v>
      </c>
    </row>
    <row r="48" spans="2:6" x14ac:dyDescent="0.25">
      <c r="B48" s="8">
        <v>45</v>
      </c>
      <c r="C48" s="2" t="s">
        <v>499</v>
      </c>
      <c r="D48" s="2" t="s">
        <v>495</v>
      </c>
      <c r="E48" s="2" t="s">
        <v>483</v>
      </c>
      <c r="F48" s="8">
        <v>4</v>
      </c>
    </row>
    <row r="49" spans="2:6" x14ac:dyDescent="0.25">
      <c r="B49" s="8">
        <v>46</v>
      </c>
      <c r="C49" s="2" t="s">
        <v>499</v>
      </c>
      <c r="D49" s="2" t="s">
        <v>496</v>
      </c>
      <c r="E49" s="2" t="s">
        <v>502</v>
      </c>
      <c r="F49" s="8">
        <v>2</v>
      </c>
    </row>
    <row r="50" spans="2:6" x14ac:dyDescent="0.25">
      <c r="B50" s="8">
        <v>47</v>
      </c>
      <c r="C50" s="2" t="s">
        <v>499</v>
      </c>
      <c r="D50" s="2" t="s">
        <v>496</v>
      </c>
      <c r="E50" s="2" t="s">
        <v>485</v>
      </c>
      <c r="F50" s="8">
        <v>8</v>
      </c>
    </row>
    <row r="51" spans="2:6" x14ac:dyDescent="0.25">
      <c r="B51" s="8">
        <v>48</v>
      </c>
      <c r="C51" s="2" t="s">
        <v>499</v>
      </c>
      <c r="D51" s="2" t="s">
        <v>496</v>
      </c>
      <c r="E51" s="2" t="s">
        <v>483</v>
      </c>
      <c r="F51" s="8">
        <v>7</v>
      </c>
    </row>
    <row r="52" spans="2:6" x14ac:dyDescent="0.25">
      <c r="B52" s="8">
        <v>49</v>
      </c>
      <c r="C52" s="2" t="s">
        <v>499</v>
      </c>
      <c r="D52" s="2" t="s">
        <v>496</v>
      </c>
      <c r="E52" s="2" t="s">
        <v>480</v>
      </c>
      <c r="F52" s="8">
        <v>1</v>
      </c>
    </row>
    <row r="53" spans="2:6" x14ac:dyDescent="0.25">
      <c r="B53" s="8">
        <v>50</v>
      </c>
      <c r="C53" s="2" t="s">
        <v>499</v>
      </c>
      <c r="D53" s="2" t="s">
        <v>496</v>
      </c>
      <c r="E53" s="2" t="s">
        <v>501</v>
      </c>
      <c r="F53" s="8">
        <v>1</v>
      </c>
    </row>
    <row r="54" spans="2:6" x14ac:dyDescent="0.25">
      <c r="B54" s="8">
        <v>51</v>
      </c>
      <c r="C54" s="2" t="s">
        <v>499</v>
      </c>
      <c r="D54" s="2" t="s">
        <v>496</v>
      </c>
      <c r="E54" s="2" t="s">
        <v>503</v>
      </c>
      <c r="F54" s="8">
        <v>1</v>
      </c>
    </row>
    <row r="55" spans="2:6" x14ac:dyDescent="0.25">
      <c r="B55" s="8">
        <v>52</v>
      </c>
      <c r="C55" s="2" t="s">
        <v>499</v>
      </c>
      <c r="D55" s="2" t="s">
        <v>498</v>
      </c>
      <c r="E55" s="2" t="s">
        <v>476</v>
      </c>
      <c r="F55" s="8">
        <v>5</v>
      </c>
    </row>
    <row r="56" spans="2:6" x14ac:dyDescent="0.25">
      <c r="B56" s="8">
        <v>53</v>
      </c>
      <c r="C56" s="2" t="s">
        <v>499</v>
      </c>
      <c r="D56" s="2" t="s">
        <v>498</v>
      </c>
      <c r="E56" s="2" t="s">
        <v>486</v>
      </c>
      <c r="F56" s="8">
        <v>1</v>
      </c>
    </row>
    <row r="57" spans="2:6" x14ac:dyDescent="0.25">
      <c r="B57" s="8">
        <v>54</v>
      </c>
      <c r="C57" s="2" t="s">
        <v>499</v>
      </c>
      <c r="D57" s="2" t="s">
        <v>498</v>
      </c>
      <c r="E57" s="2" t="s">
        <v>480</v>
      </c>
      <c r="F57" s="8">
        <v>1</v>
      </c>
    </row>
    <row r="58" spans="2:6" x14ac:dyDescent="0.25">
      <c r="B58" s="8">
        <v>55</v>
      </c>
      <c r="C58" s="2" t="s">
        <v>499</v>
      </c>
      <c r="D58" s="2" t="s">
        <v>498</v>
      </c>
      <c r="E58" s="2" t="s">
        <v>501</v>
      </c>
      <c r="F58" s="8">
        <v>3</v>
      </c>
    </row>
    <row r="59" spans="2:6" x14ac:dyDescent="0.25">
      <c r="B59" s="8">
        <v>56</v>
      </c>
      <c r="C59" s="2" t="s">
        <v>499</v>
      </c>
      <c r="D59" s="2" t="s">
        <v>504</v>
      </c>
      <c r="E59" s="2" t="s">
        <v>501</v>
      </c>
      <c r="F59" s="8">
        <v>1</v>
      </c>
    </row>
    <row r="60" spans="2:6" x14ac:dyDescent="0.25">
      <c r="B60" s="8">
        <v>57</v>
      </c>
      <c r="C60" s="2" t="s">
        <v>505</v>
      </c>
      <c r="D60" s="8" t="s">
        <v>404</v>
      </c>
      <c r="E60" s="8" t="s">
        <v>404</v>
      </c>
      <c r="F60" s="8">
        <v>6</v>
      </c>
    </row>
    <row r="61" spans="2:6" x14ac:dyDescent="0.25">
      <c r="B61" s="8">
        <v>58</v>
      </c>
      <c r="C61" s="2" t="s">
        <v>506</v>
      </c>
      <c r="D61" s="8" t="s">
        <v>404</v>
      </c>
      <c r="E61" s="8" t="s">
        <v>404</v>
      </c>
      <c r="F61" s="8">
        <v>10</v>
      </c>
    </row>
    <row r="62" spans="2:6" x14ac:dyDescent="0.25">
      <c r="B62" s="8">
        <v>59</v>
      </c>
      <c r="C62" s="2" t="s">
        <v>507</v>
      </c>
      <c r="D62" s="2">
        <v>20125</v>
      </c>
      <c r="E62" s="2" t="s">
        <v>508</v>
      </c>
      <c r="F62" s="8">
        <v>26</v>
      </c>
    </row>
    <row r="63" spans="2:6" x14ac:dyDescent="0.25">
      <c r="B63" s="8">
        <v>60</v>
      </c>
      <c r="C63" s="2" t="s">
        <v>509</v>
      </c>
      <c r="D63" s="2">
        <v>9825</v>
      </c>
      <c r="E63" s="2" t="s">
        <v>508</v>
      </c>
      <c r="F63" s="8">
        <v>45</v>
      </c>
    </row>
    <row r="64" spans="2:6" x14ac:dyDescent="0.25">
      <c r="B64" s="8">
        <v>61</v>
      </c>
      <c r="C64" s="2" t="s">
        <v>510</v>
      </c>
      <c r="D64" s="2">
        <v>9825</v>
      </c>
      <c r="E64" s="2" t="s">
        <v>508</v>
      </c>
      <c r="F64" s="8">
        <v>20</v>
      </c>
    </row>
    <row r="65" spans="2:6" x14ac:dyDescent="0.25">
      <c r="B65" s="8">
        <v>62</v>
      </c>
      <c r="C65" s="2" t="s">
        <v>511</v>
      </c>
      <c r="D65" s="2" t="s">
        <v>512</v>
      </c>
      <c r="E65" s="8" t="s">
        <v>404</v>
      </c>
      <c r="F65" s="8">
        <v>8</v>
      </c>
    </row>
    <row r="66" spans="2:6" x14ac:dyDescent="0.25">
      <c r="B66" s="8">
        <v>63</v>
      </c>
      <c r="C66" s="2" t="s">
        <v>513</v>
      </c>
      <c r="D66" s="2" t="s">
        <v>512</v>
      </c>
      <c r="E66" s="8" t="s">
        <v>404</v>
      </c>
      <c r="F66" s="8">
        <v>6</v>
      </c>
    </row>
    <row r="67" spans="2:6" x14ac:dyDescent="0.25">
      <c r="B67" s="8">
        <v>64</v>
      </c>
      <c r="C67" s="2" t="s">
        <v>514</v>
      </c>
      <c r="D67" s="2" t="s">
        <v>515</v>
      </c>
      <c r="E67" s="8" t="s">
        <v>404</v>
      </c>
      <c r="F67" s="8">
        <v>20</v>
      </c>
    </row>
    <row r="68" spans="2:6" x14ac:dyDescent="0.25">
      <c r="B68" s="8">
        <v>65</v>
      </c>
      <c r="C68" s="2" t="s">
        <v>516</v>
      </c>
      <c r="D68" s="8" t="s">
        <v>404</v>
      </c>
      <c r="E68" s="8" t="s">
        <v>404</v>
      </c>
      <c r="F68" s="8">
        <v>20</v>
      </c>
    </row>
    <row r="69" spans="2:6" x14ac:dyDescent="0.25">
      <c r="B69" s="8">
        <v>66</v>
      </c>
      <c r="C69" s="2" t="s">
        <v>517</v>
      </c>
      <c r="D69" s="8" t="s">
        <v>404</v>
      </c>
      <c r="E69" s="8" t="s">
        <v>404</v>
      </c>
      <c r="F69" s="8">
        <v>9</v>
      </c>
    </row>
    <row r="70" spans="2:6" x14ac:dyDescent="0.25">
      <c r="B70" s="8">
        <v>67</v>
      </c>
      <c r="C70" s="2" t="s">
        <v>518</v>
      </c>
      <c r="D70" s="2" t="s">
        <v>504</v>
      </c>
      <c r="E70" s="8" t="s">
        <v>404</v>
      </c>
      <c r="F70" s="8">
        <v>3</v>
      </c>
    </row>
    <row r="71" spans="2:6" x14ac:dyDescent="0.25">
      <c r="B71" s="8">
        <v>68</v>
      </c>
      <c r="C71" s="2" t="s">
        <v>519</v>
      </c>
      <c r="D71" s="2" t="s">
        <v>489</v>
      </c>
      <c r="E71" s="2" t="s">
        <v>476</v>
      </c>
      <c r="F71" s="8">
        <v>3</v>
      </c>
    </row>
    <row r="72" spans="2:6" x14ac:dyDescent="0.25">
      <c r="B72" s="8">
        <v>69</v>
      </c>
      <c r="C72" s="2" t="s">
        <v>519</v>
      </c>
      <c r="D72" s="2" t="s">
        <v>468</v>
      </c>
      <c r="E72" s="2" t="s">
        <v>520</v>
      </c>
      <c r="F72" s="8">
        <v>1</v>
      </c>
    </row>
    <row r="73" spans="2:6" x14ac:dyDescent="0.25">
      <c r="B73" s="8">
        <v>70</v>
      </c>
      <c r="C73" s="2" t="s">
        <v>519</v>
      </c>
      <c r="D73" s="2" t="s">
        <v>468</v>
      </c>
      <c r="E73" s="2" t="s">
        <v>501</v>
      </c>
      <c r="F73" s="8">
        <v>1</v>
      </c>
    </row>
    <row r="74" spans="2:6" x14ac:dyDescent="0.25">
      <c r="B74" s="8">
        <v>71</v>
      </c>
      <c r="C74" s="2" t="s">
        <v>521</v>
      </c>
      <c r="D74" s="2" t="s">
        <v>479</v>
      </c>
      <c r="E74" s="2" t="s">
        <v>485</v>
      </c>
      <c r="F74" s="8">
        <v>5</v>
      </c>
    </row>
    <row r="75" spans="2:6" x14ac:dyDescent="0.25">
      <c r="B75" s="8">
        <v>72</v>
      </c>
      <c r="C75" s="2" t="s">
        <v>521</v>
      </c>
      <c r="D75" s="2" t="s">
        <v>479</v>
      </c>
      <c r="E75" s="2" t="s">
        <v>494</v>
      </c>
      <c r="F75" s="8">
        <v>1</v>
      </c>
    </row>
    <row r="76" spans="2:6" x14ac:dyDescent="0.25">
      <c r="B76" s="8">
        <v>73</v>
      </c>
      <c r="C76" s="2" t="s">
        <v>521</v>
      </c>
      <c r="D76" s="2" t="s">
        <v>479</v>
      </c>
      <c r="E76" s="2" t="s">
        <v>477</v>
      </c>
      <c r="F76" s="8">
        <v>1</v>
      </c>
    </row>
    <row r="77" spans="2:6" x14ac:dyDescent="0.25">
      <c r="B77" s="8">
        <v>74</v>
      </c>
      <c r="C77" s="2" t="s">
        <v>521</v>
      </c>
      <c r="D77" s="2" t="s">
        <v>479</v>
      </c>
      <c r="E77" s="2" t="s">
        <v>481</v>
      </c>
      <c r="F77" s="8">
        <v>1</v>
      </c>
    </row>
    <row r="78" spans="2:6" x14ac:dyDescent="0.25">
      <c r="B78" s="8">
        <v>75</v>
      </c>
      <c r="C78" s="2" t="s">
        <v>521</v>
      </c>
      <c r="D78" s="2" t="s">
        <v>468</v>
      </c>
      <c r="E78" s="2" t="s">
        <v>485</v>
      </c>
      <c r="F78" s="8">
        <v>5</v>
      </c>
    </row>
    <row r="79" spans="2:6" x14ac:dyDescent="0.25">
      <c r="B79" s="8">
        <v>76</v>
      </c>
      <c r="C79" s="2" t="s">
        <v>521</v>
      </c>
      <c r="D79" s="2" t="s">
        <v>468</v>
      </c>
      <c r="E79" s="2" t="s">
        <v>522</v>
      </c>
      <c r="F79" s="8">
        <v>1</v>
      </c>
    </row>
    <row r="80" spans="2:6" x14ac:dyDescent="0.25">
      <c r="B80" s="8">
        <v>77</v>
      </c>
      <c r="C80" s="2"/>
      <c r="D80" s="2" t="s">
        <v>468</v>
      </c>
      <c r="E80" s="2" t="s">
        <v>486</v>
      </c>
      <c r="F80" s="8">
        <v>1</v>
      </c>
    </row>
    <row r="81" spans="2:6" x14ac:dyDescent="0.25">
      <c r="B81" s="8">
        <v>78</v>
      </c>
      <c r="C81" s="2"/>
      <c r="D81" s="2" t="s">
        <v>468</v>
      </c>
      <c r="E81" s="2" t="s">
        <v>494</v>
      </c>
      <c r="F81" s="8">
        <v>1</v>
      </c>
    </row>
    <row r="82" spans="2:6" x14ac:dyDescent="0.25">
      <c r="B82" s="8">
        <v>79</v>
      </c>
      <c r="C82" s="2" t="s">
        <v>521</v>
      </c>
      <c r="D82" s="2" t="s">
        <v>489</v>
      </c>
      <c r="E82" s="2" t="s">
        <v>497</v>
      </c>
      <c r="F82" s="8">
        <v>2</v>
      </c>
    </row>
    <row r="83" spans="2:6" x14ac:dyDescent="0.25">
      <c r="B83" s="8">
        <v>80</v>
      </c>
      <c r="C83" s="2" t="s">
        <v>521</v>
      </c>
      <c r="D83" s="2" t="s">
        <v>489</v>
      </c>
      <c r="E83" s="2" t="s">
        <v>485</v>
      </c>
      <c r="F83" s="8">
        <v>5</v>
      </c>
    </row>
    <row r="84" spans="2:6" x14ac:dyDescent="0.25">
      <c r="B84" s="8">
        <v>81</v>
      </c>
      <c r="C84" s="2" t="s">
        <v>521</v>
      </c>
      <c r="D84" s="2" t="s">
        <v>489</v>
      </c>
      <c r="E84" s="2" t="s">
        <v>494</v>
      </c>
      <c r="F84" s="8">
        <v>1</v>
      </c>
    </row>
    <row r="85" spans="2:6" x14ac:dyDescent="0.25">
      <c r="B85" s="8">
        <v>82</v>
      </c>
      <c r="C85" s="2" t="s">
        <v>521</v>
      </c>
      <c r="D85" s="2" t="s">
        <v>489</v>
      </c>
      <c r="E85" s="2" t="s">
        <v>483</v>
      </c>
      <c r="F85" s="8">
        <v>1</v>
      </c>
    </row>
    <row r="86" spans="2:6" x14ac:dyDescent="0.25">
      <c r="B86" s="8">
        <v>83</v>
      </c>
      <c r="C86" s="2" t="s">
        <v>521</v>
      </c>
      <c r="D86" s="2" t="s">
        <v>492</v>
      </c>
      <c r="E86" s="2" t="s">
        <v>497</v>
      </c>
      <c r="F86" s="8">
        <v>40</v>
      </c>
    </row>
    <row r="87" spans="2:6" x14ac:dyDescent="0.25">
      <c r="B87" s="8">
        <v>84</v>
      </c>
      <c r="C87" s="2" t="s">
        <v>521</v>
      </c>
      <c r="D87" s="2" t="s">
        <v>492</v>
      </c>
      <c r="E87" s="2" t="s">
        <v>485</v>
      </c>
      <c r="F87" s="8">
        <v>4</v>
      </c>
    </row>
    <row r="88" spans="2:6" x14ac:dyDescent="0.25">
      <c r="B88" s="8">
        <v>85</v>
      </c>
      <c r="C88" s="2" t="s">
        <v>521</v>
      </c>
      <c r="D88" s="2" t="s">
        <v>495</v>
      </c>
      <c r="E88" s="2" t="s">
        <v>497</v>
      </c>
      <c r="F88" s="8">
        <v>4</v>
      </c>
    </row>
    <row r="89" spans="2:6" x14ac:dyDescent="0.25">
      <c r="B89" s="8">
        <v>86</v>
      </c>
      <c r="C89" s="2" t="s">
        <v>521</v>
      </c>
      <c r="D89" s="2" t="s">
        <v>495</v>
      </c>
      <c r="E89" s="2" t="s">
        <v>485</v>
      </c>
      <c r="F89" s="8">
        <v>9</v>
      </c>
    </row>
    <row r="90" spans="2:6" x14ac:dyDescent="0.25">
      <c r="B90" s="8">
        <v>87</v>
      </c>
      <c r="C90" s="2" t="s">
        <v>521</v>
      </c>
      <c r="D90" s="2" t="s">
        <v>495</v>
      </c>
      <c r="E90" s="2" t="s">
        <v>476</v>
      </c>
      <c r="F90" s="8">
        <v>1</v>
      </c>
    </row>
    <row r="91" spans="2:6" x14ac:dyDescent="0.25">
      <c r="B91" s="8">
        <v>88</v>
      </c>
      <c r="C91" s="2" t="s">
        <v>521</v>
      </c>
      <c r="D91" s="2" t="s">
        <v>496</v>
      </c>
      <c r="E91" s="2" t="s">
        <v>497</v>
      </c>
      <c r="F91" s="8">
        <v>2</v>
      </c>
    </row>
    <row r="92" spans="2:6" x14ac:dyDescent="0.25">
      <c r="B92" s="8">
        <v>89</v>
      </c>
      <c r="C92" s="2" t="s">
        <v>521</v>
      </c>
      <c r="D92" s="2" t="s">
        <v>496</v>
      </c>
      <c r="E92" s="2" t="s">
        <v>476</v>
      </c>
      <c r="F92" s="8">
        <v>2</v>
      </c>
    </row>
    <row r="93" spans="2:6" x14ac:dyDescent="0.25">
      <c r="B93" s="8">
        <v>90</v>
      </c>
      <c r="C93" s="2" t="s">
        <v>521</v>
      </c>
      <c r="D93" s="2" t="s">
        <v>496</v>
      </c>
      <c r="E93" s="2" t="s">
        <v>485</v>
      </c>
      <c r="F93" s="8">
        <v>1</v>
      </c>
    </row>
    <row r="94" spans="2:6" x14ac:dyDescent="0.25">
      <c r="B94" s="8">
        <v>91</v>
      </c>
      <c r="C94" s="2" t="s">
        <v>521</v>
      </c>
      <c r="D94" s="2" t="s">
        <v>496</v>
      </c>
      <c r="E94" s="2" t="s">
        <v>474</v>
      </c>
      <c r="F94" s="8">
        <v>1</v>
      </c>
    </row>
    <row r="95" spans="2:6" x14ac:dyDescent="0.25">
      <c r="B95" s="8">
        <v>92</v>
      </c>
      <c r="C95" s="2" t="s">
        <v>521</v>
      </c>
      <c r="D95" s="2" t="s">
        <v>523</v>
      </c>
      <c r="E95" s="2" t="s">
        <v>483</v>
      </c>
      <c r="F95" s="8">
        <v>1</v>
      </c>
    </row>
    <row r="96" spans="2:6" x14ac:dyDescent="0.25">
      <c r="B96" s="8">
        <v>93</v>
      </c>
      <c r="C96" s="2" t="s">
        <v>521</v>
      </c>
      <c r="D96" s="2" t="s">
        <v>498</v>
      </c>
      <c r="E96" s="2" t="s">
        <v>474</v>
      </c>
      <c r="F96" s="8">
        <v>3</v>
      </c>
    </row>
    <row r="97" spans="2:6" x14ac:dyDescent="0.25">
      <c r="B97" s="8">
        <v>94</v>
      </c>
      <c r="C97" s="2" t="s">
        <v>521</v>
      </c>
      <c r="D97" s="2" t="s">
        <v>504</v>
      </c>
      <c r="E97" s="2" t="s">
        <v>485</v>
      </c>
      <c r="F97" s="8">
        <v>10</v>
      </c>
    </row>
    <row r="98" spans="2:6" x14ac:dyDescent="0.25">
      <c r="B98" s="8">
        <v>95</v>
      </c>
      <c r="C98" s="2" t="s">
        <v>524</v>
      </c>
      <c r="D98" s="8" t="s">
        <v>404</v>
      </c>
      <c r="E98" s="8" t="s">
        <v>404</v>
      </c>
      <c r="F98" s="8">
        <v>5</v>
      </c>
    </row>
    <row r="99" spans="2:6" x14ac:dyDescent="0.25">
      <c r="B99" s="28">
        <v>96</v>
      </c>
      <c r="C99" s="5" t="s">
        <v>525</v>
      </c>
      <c r="F99" s="29">
        <v>4</v>
      </c>
    </row>
    <row r="100" spans="2:6" x14ac:dyDescent="0.25">
      <c r="B100" s="8">
        <v>97</v>
      </c>
      <c r="C100" s="2" t="s">
        <v>526</v>
      </c>
      <c r="D100" s="2" t="s">
        <v>527</v>
      </c>
      <c r="E100" s="2" t="s">
        <v>494</v>
      </c>
      <c r="F100" s="8">
        <v>2</v>
      </c>
    </row>
    <row r="101" spans="2:6" x14ac:dyDescent="0.25">
      <c r="B101" s="8">
        <v>98</v>
      </c>
      <c r="C101" s="2" t="s">
        <v>526</v>
      </c>
      <c r="D101" s="2" t="s">
        <v>528</v>
      </c>
      <c r="E101" s="2" t="s">
        <v>494</v>
      </c>
      <c r="F101" s="8">
        <v>2</v>
      </c>
    </row>
    <row r="102" spans="2:6" x14ac:dyDescent="0.25">
      <c r="B102" s="8">
        <v>99</v>
      </c>
      <c r="C102" s="2" t="s">
        <v>526</v>
      </c>
      <c r="D102" s="2" t="s">
        <v>495</v>
      </c>
      <c r="E102" s="2" t="s">
        <v>529</v>
      </c>
      <c r="F102" s="8">
        <v>1</v>
      </c>
    </row>
    <row r="103" spans="2:6" x14ac:dyDescent="0.25">
      <c r="B103" s="8">
        <v>100</v>
      </c>
      <c r="C103" s="2" t="s">
        <v>526</v>
      </c>
      <c r="D103" s="2" t="s">
        <v>529</v>
      </c>
      <c r="E103" s="2" t="s">
        <v>529</v>
      </c>
      <c r="F103" s="8">
        <v>8</v>
      </c>
    </row>
    <row r="104" spans="2:6" x14ac:dyDescent="0.25">
      <c r="B104" s="8">
        <v>102</v>
      </c>
      <c r="C104" s="2" t="s">
        <v>530</v>
      </c>
      <c r="D104" s="2" t="s">
        <v>531</v>
      </c>
      <c r="E104" s="2" t="s">
        <v>474</v>
      </c>
      <c r="F104" s="8">
        <v>1</v>
      </c>
    </row>
    <row r="105" spans="2:6" x14ac:dyDescent="0.25">
      <c r="B105" s="8">
        <v>103</v>
      </c>
      <c r="C105" s="2" t="s">
        <v>530</v>
      </c>
      <c r="D105" s="2" t="s">
        <v>414</v>
      </c>
      <c r="E105" s="2" t="s">
        <v>494</v>
      </c>
      <c r="F105" s="8">
        <v>2</v>
      </c>
    </row>
    <row r="106" spans="2:6" x14ac:dyDescent="0.25">
      <c r="B106" s="8">
        <v>104</v>
      </c>
      <c r="C106" s="2" t="s">
        <v>530</v>
      </c>
      <c r="D106" s="2" t="s">
        <v>414</v>
      </c>
      <c r="E106" s="2" t="s">
        <v>474</v>
      </c>
      <c r="F106" s="8">
        <v>1</v>
      </c>
    </row>
    <row r="107" spans="2:6" x14ac:dyDescent="0.25">
      <c r="B107" s="8">
        <v>105</v>
      </c>
      <c r="C107" s="2" t="s">
        <v>530</v>
      </c>
      <c r="D107" s="2" t="s">
        <v>414</v>
      </c>
      <c r="E107" s="2" t="s">
        <v>483</v>
      </c>
      <c r="F107" s="8">
        <v>1</v>
      </c>
    </row>
    <row r="108" spans="2:6" x14ac:dyDescent="0.25">
      <c r="B108" s="8">
        <v>106</v>
      </c>
      <c r="C108" s="2" t="s">
        <v>530</v>
      </c>
      <c r="D108" s="2" t="s">
        <v>468</v>
      </c>
      <c r="E108" s="2" t="s">
        <v>532</v>
      </c>
      <c r="F108" s="8">
        <v>5</v>
      </c>
    </row>
    <row r="109" spans="2:6" x14ac:dyDescent="0.25">
      <c r="B109" s="8">
        <v>107</v>
      </c>
      <c r="C109" s="2" t="s">
        <v>530</v>
      </c>
      <c r="D109" s="2" t="s">
        <v>468</v>
      </c>
      <c r="E109" s="2" t="s">
        <v>483</v>
      </c>
      <c r="F109" s="8">
        <v>2</v>
      </c>
    </row>
    <row r="110" spans="2:6" x14ac:dyDescent="0.25">
      <c r="B110" s="8">
        <v>108</v>
      </c>
      <c r="C110" s="2" t="s">
        <v>530</v>
      </c>
      <c r="D110" s="2" t="s">
        <v>489</v>
      </c>
      <c r="E110" s="2" t="s">
        <v>533</v>
      </c>
      <c r="F110" s="8">
        <v>4</v>
      </c>
    </row>
    <row r="111" spans="2:6" x14ac:dyDescent="0.25">
      <c r="B111" s="8">
        <v>109</v>
      </c>
      <c r="C111" s="2" t="s">
        <v>530</v>
      </c>
      <c r="D111" s="2" t="s">
        <v>492</v>
      </c>
      <c r="E111" s="2" t="s">
        <v>483</v>
      </c>
      <c r="F111" s="8">
        <v>1</v>
      </c>
    </row>
    <row r="112" spans="2:6" x14ac:dyDescent="0.25">
      <c r="B112" s="8">
        <v>111</v>
      </c>
      <c r="C112" s="2" t="s">
        <v>534</v>
      </c>
      <c r="D112" s="2" t="s">
        <v>414</v>
      </c>
      <c r="E112" s="2" t="s">
        <v>494</v>
      </c>
      <c r="F112" s="8">
        <v>1</v>
      </c>
    </row>
    <row r="113" spans="2:6" x14ac:dyDescent="0.25">
      <c r="B113" s="8">
        <v>112</v>
      </c>
      <c r="C113" s="2" t="s">
        <v>534</v>
      </c>
      <c r="D113" s="2"/>
      <c r="E113" s="2"/>
      <c r="F113" s="8"/>
    </row>
    <row r="114" spans="2:6" x14ac:dyDescent="0.25">
      <c r="B114" s="8">
        <v>113</v>
      </c>
      <c r="C114" s="2" t="s">
        <v>534</v>
      </c>
      <c r="D114" s="2" t="s">
        <v>468</v>
      </c>
      <c r="E114" s="2" t="s">
        <v>474</v>
      </c>
      <c r="F114" s="8">
        <v>1</v>
      </c>
    </row>
    <row r="115" spans="2:6" x14ac:dyDescent="0.25">
      <c r="B115" s="8">
        <v>114</v>
      </c>
      <c r="C115" s="2" t="s">
        <v>534</v>
      </c>
      <c r="D115" s="2" t="s">
        <v>489</v>
      </c>
      <c r="E115" s="2" t="s">
        <v>474</v>
      </c>
      <c r="F115" s="8">
        <v>5</v>
      </c>
    </row>
    <row r="116" spans="2:6" x14ac:dyDescent="0.25">
      <c r="B116" s="8">
        <v>115</v>
      </c>
      <c r="C116" s="2" t="s">
        <v>534</v>
      </c>
      <c r="D116" s="2" t="s">
        <v>489</v>
      </c>
      <c r="E116" s="2" t="s">
        <v>497</v>
      </c>
      <c r="F116" s="8">
        <v>8</v>
      </c>
    </row>
    <row r="117" spans="2:6" x14ac:dyDescent="0.25">
      <c r="B117" s="8">
        <v>116</v>
      </c>
      <c r="C117" s="2" t="s">
        <v>534</v>
      </c>
      <c r="D117" s="2" t="s">
        <v>489</v>
      </c>
      <c r="E117" s="2" t="s">
        <v>476</v>
      </c>
      <c r="F117" s="8">
        <v>2</v>
      </c>
    </row>
    <row r="118" spans="2:6" x14ac:dyDescent="0.25">
      <c r="B118" s="8">
        <v>117</v>
      </c>
      <c r="C118" s="2" t="s">
        <v>534</v>
      </c>
      <c r="D118" s="2" t="s">
        <v>489</v>
      </c>
      <c r="E118" s="2" t="s">
        <v>532</v>
      </c>
      <c r="F118" s="8">
        <v>2</v>
      </c>
    </row>
    <row r="119" spans="2:6" x14ac:dyDescent="0.25">
      <c r="B119" s="8">
        <v>118</v>
      </c>
      <c r="C119" s="2" t="s">
        <v>534</v>
      </c>
      <c r="D119" s="2" t="s">
        <v>489</v>
      </c>
      <c r="E119" s="2" t="s">
        <v>486</v>
      </c>
      <c r="F119" s="8">
        <v>2</v>
      </c>
    </row>
    <row r="120" spans="2:6" x14ac:dyDescent="0.25">
      <c r="B120" s="8">
        <v>119</v>
      </c>
      <c r="C120" s="2" t="s">
        <v>534</v>
      </c>
      <c r="D120" s="2" t="s">
        <v>489</v>
      </c>
      <c r="E120" s="2" t="s">
        <v>494</v>
      </c>
      <c r="F120" s="8">
        <v>1</v>
      </c>
    </row>
    <row r="121" spans="2:6" x14ac:dyDescent="0.25">
      <c r="B121" s="8">
        <v>120</v>
      </c>
      <c r="C121" s="2" t="s">
        <v>534</v>
      </c>
      <c r="D121" s="2" t="s">
        <v>535</v>
      </c>
      <c r="E121" s="2" t="s">
        <v>486</v>
      </c>
      <c r="F121" s="8">
        <v>1</v>
      </c>
    </row>
    <row r="122" spans="2:6" x14ac:dyDescent="0.25">
      <c r="B122" s="8">
        <v>121</v>
      </c>
      <c r="C122" s="2" t="s">
        <v>534</v>
      </c>
      <c r="D122" s="2" t="s">
        <v>535</v>
      </c>
      <c r="E122" s="2" t="s">
        <v>497</v>
      </c>
      <c r="F122" s="8">
        <v>3</v>
      </c>
    </row>
    <row r="123" spans="2:6" x14ac:dyDescent="0.25">
      <c r="B123" s="8">
        <v>122</v>
      </c>
      <c r="C123" s="2" t="s">
        <v>534</v>
      </c>
      <c r="D123" s="2" t="s">
        <v>492</v>
      </c>
      <c r="E123" s="2" t="s">
        <v>497</v>
      </c>
      <c r="F123" s="8">
        <v>1</v>
      </c>
    </row>
    <row r="124" spans="2:6" x14ac:dyDescent="0.25">
      <c r="B124" s="8">
        <v>123</v>
      </c>
      <c r="C124" s="2" t="s">
        <v>534</v>
      </c>
      <c r="D124" s="2" t="s">
        <v>492</v>
      </c>
      <c r="E124" s="2" t="s">
        <v>486</v>
      </c>
      <c r="F124" s="8">
        <v>2</v>
      </c>
    </row>
    <row r="125" spans="2:6" x14ac:dyDescent="0.25">
      <c r="B125" s="8">
        <v>124</v>
      </c>
      <c r="C125" s="2" t="s">
        <v>534</v>
      </c>
      <c r="D125" s="2" t="s">
        <v>495</v>
      </c>
      <c r="E125" s="2" t="s">
        <v>493</v>
      </c>
      <c r="F125" s="8">
        <v>3</v>
      </c>
    </row>
    <row r="126" spans="2:6" x14ac:dyDescent="0.25">
      <c r="B126" s="8">
        <v>125</v>
      </c>
      <c r="C126" s="2" t="s">
        <v>534</v>
      </c>
      <c r="D126" s="2" t="s">
        <v>495</v>
      </c>
      <c r="E126" s="2" t="s">
        <v>536</v>
      </c>
      <c r="F126" s="8">
        <v>1</v>
      </c>
    </row>
    <row r="127" spans="2:6" x14ac:dyDescent="0.25">
      <c r="B127" s="8">
        <v>126</v>
      </c>
      <c r="C127" s="2" t="s">
        <v>534</v>
      </c>
      <c r="D127" s="2" t="s">
        <v>495</v>
      </c>
      <c r="E127" s="2" t="s">
        <v>476</v>
      </c>
      <c r="F127" s="8">
        <v>1</v>
      </c>
    </row>
    <row r="128" spans="2:6" x14ac:dyDescent="0.25">
      <c r="B128" s="8">
        <v>127</v>
      </c>
      <c r="C128" s="2" t="s">
        <v>537</v>
      </c>
      <c r="D128" s="2" t="s">
        <v>468</v>
      </c>
      <c r="E128" s="2" t="s">
        <v>497</v>
      </c>
      <c r="F128" s="8">
        <v>4</v>
      </c>
    </row>
    <row r="129" spans="2:6" x14ac:dyDescent="0.25">
      <c r="B129" s="8">
        <v>128</v>
      </c>
      <c r="C129" s="2" t="s">
        <v>537</v>
      </c>
      <c r="D129" s="2" t="s">
        <v>468</v>
      </c>
      <c r="E129" s="2" t="s">
        <v>486</v>
      </c>
      <c r="F129" s="8">
        <v>4</v>
      </c>
    </row>
    <row r="130" spans="2:6" x14ac:dyDescent="0.25">
      <c r="B130" s="8">
        <v>129</v>
      </c>
      <c r="C130" s="2" t="s">
        <v>537</v>
      </c>
      <c r="D130" s="2" t="s">
        <v>489</v>
      </c>
      <c r="E130" s="2" t="s">
        <v>501</v>
      </c>
      <c r="F130" s="8">
        <v>15</v>
      </c>
    </row>
    <row r="131" spans="2:6" x14ac:dyDescent="0.25">
      <c r="B131" s="8">
        <v>130</v>
      </c>
      <c r="C131" s="2" t="s">
        <v>537</v>
      </c>
      <c r="D131" s="2" t="s">
        <v>489</v>
      </c>
      <c r="E131" s="2" t="s">
        <v>486</v>
      </c>
      <c r="F131" s="8">
        <v>5</v>
      </c>
    </row>
    <row r="132" spans="2:6" x14ac:dyDescent="0.25">
      <c r="B132" s="8">
        <v>131</v>
      </c>
      <c r="C132" s="2" t="s">
        <v>537</v>
      </c>
      <c r="D132" s="2" t="s">
        <v>492</v>
      </c>
      <c r="E132" s="2" t="s">
        <v>494</v>
      </c>
      <c r="F132" s="8">
        <v>4</v>
      </c>
    </row>
    <row r="133" spans="2:6" x14ac:dyDescent="0.25">
      <c r="B133" s="8">
        <v>132</v>
      </c>
      <c r="C133" s="2" t="s">
        <v>538</v>
      </c>
      <c r="D133" s="2" t="s">
        <v>492</v>
      </c>
      <c r="E133" s="2" t="s">
        <v>481</v>
      </c>
      <c r="F133" s="8">
        <v>6</v>
      </c>
    </row>
    <row r="134" spans="2:6" x14ac:dyDescent="0.25">
      <c r="B134" s="8">
        <v>133</v>
      </c>
      <c r="C134" s="2" t="s">
        <v>539</v>
      </c>
      <c r="D134" s="8" t="s">
        <v>404</v>
      </c>
      <c r="E134" s="2" t="s">
        <v>540</v>
      </c>
      <c r="F134" s="8">
        <v>4</v>
      </c>
    </row>
    <row r="135" spans="2:6" x14ac:dyDescent="0.25">
      <c r="B135" s="8">
        <v>134</v>
      </c>
      <c r="C135" s="2" t="s">
        <v>541</v>
      </c>
      <c r="D135" s="2" t="s">
        <v>489</v>
      </c>
      <c r="E135" s="2" t="s">
        <v>542</v>
      </c>
      <c r="F135" s="8">
        <v>4</v>
      </c>
    </row>
    <row r="136" spans="2:6" x14ac:dyDescent="0.25">
      <c r="B136" s="8">
        <v>135</v>
      </c>
      <c r="C136" s="2" t="s">
        <v>516</v>
      </c>
      <c r="D136" s="8" t="s">
        <v>404</v>
      </c>
      <c r="E136" s="8" t="s">
        <v>404</v>
      </c>
      <c r="F136" s="8">
        <v>20</v>
      </c>
    </row>
    <row r="137" spans="2:6" x14ac:dyDescent="0.25">
      <c r="B137" s="8">
        <v>136</v>
      </c>
      <c r="C137" s="2" t="s">
        <v>517</v>
      </c>
      <c r="D137" s="8" t="s">
        <v>404</v>
      </c>
      <c r="E137" s="8" t="s">
        <v>404</v>
      </c>
      <c r="F137" s="8">
        <v>9</v>
      </c>
    </row>
    <row r="138" spans="2:6" x14ac:dyDescent="0.25">
      <c r="B138" s="8">
        <v>138</v>
      </c>
      <c r="C138" s="2" t="s">
        <v>518</v>
      </c>
      <c r="D138" s="2" t="s">
        <v>496</v>
      </c>
      <c r="E138" s="2" t="s">
        <v>543</v>
      </c>
      <c r="F138" s="8">
        <v>1</v>
      </c>
    </row>
    <row r="139" spans="2:6" x14ac:dyDescent="0.25">
      <c r="B139" s="8">
        <v>139</v>
      </c>
      <c r="C139" s="2" t="s">
        <v>518</v>
      </c>
      <c r="D139" s="2" t="s">
        <v>544</v>
      </c>
      <c r="E139" s="2" t="s">
        <v>503</v>
      </c>
      <c r="F139" s="8">
        <v>2</v>
      </c>
    </row>
    <row r="140" spans="2:6" x14ac:dyDescent="0.25">
      <c r="B140" s="8">
        <v>140</v>
      </c>
      <c r="C140" s="2" t="s">
        <v>518</v>
      </c>
      <c r="D140" s="2" t="s">
        <v>498</v>
      </c>
      <c r="E140" s="2" t="s">
        <v>480</v>
      </c>
      <c r="F140" s="8">
        <v>2</v>
      </c>
    </row>
    <row r="141" spans="2:6" x14ac:dyDescent="0.25">
      <c r="B141" s="8">
        <v>141</v>
      </c>
      <c r="C141" s="2" t="s">
        <v>518</v>
      </c>
      <c r="D141" s="2" t="s">
        <v>498</v>
      </c>
      <c r="E141" s="2" t="s">
        <v>483</v>
      </c>
      <c r="F141" s="8">
        <v>1</v>
      </c>
    </row>
    <row r="142" spans="2:6" x14ac:dyDescent="0.25">
      <c r="B142" s="8">
        <v>142</v>
      </c>
      <c r="C142" s="2" t="s">
        <v>518</v>
      </c>
      <c r="D142" s="2" t="s">
        <v>504</v>
      </c>
      <c r="E142" s="8" t="s">
        <v>404</v>
      </c>
      <c r="F142" s="8">
        <v>4</v>
      </c>
    </row>
    <row r="143" spans="2:6" x14ac:dyDescent="0.25">
      <c r="B143" s="8">
        <v>143</v>
      </c>
      <c r="C143" s="2" t="s">
        <v>797</v>
      </c>
      <c r="D143" s="8" t="s">
        <v>404</v>
      </c>
      <c r="E143" s="8" t="s">
        <v>404</v>
      </c>
      <c r="F143" s="8">
        <v>73</v>
      </c>
    </row>
  </sheetData>
  <mergeCells count="1">
    <mergeCell ref="B2:F2"/>
  </mergeCells>
  <pageMargins left="0.7" right="0.7" top="0.75" bottom="0.75" header="0.3" footer="0.3"/>
  <pageSetup orientation="portrait" horizontalDpi="0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2:D16"/>
  <sheetViews>
    <sheetView workbookViewId="0">
      <selection activeCell="J29" sqref="J29"/>
    </sheetView>
  </sheetViews>
  <sheetFormatPr baseColWidth="10" defaultRowHeight="15" x14ac:dyDescent="0.25"/>
  <cols>
    <col min="1" max="1" width="3.7109375" customWidth="1"/>
    <col min="2" max="2" width="6.28515625" customWidth="1"/>
    <col min="3" max="3" width="26.85546875" customWidth="1"/>
    <col min="4" max="4" width="9.85546875" customWidth="1"/>
  </cols>
  <sheetData>
    <row r="2" spans="2:4" x14ac:dyDescent="0.25">
      <c r="B2" s="97" t="s">
        <v>592</v>
      </c>
      <c r="C2" s="98"/>
      <c r="D2" s="99"/>
    </row>
    <row r="3" spans="2:4" x14ac:dyDescent="0.25">
      <c r="B3" s="70" t="s">
        <v>1</v>
      </c>
      <c r="C3" s="71" t="s">
        <v>606</v>
      </c>
      <c r="D3" s="70" t="s">
        <v>471</v>
      </c>
    </row>
    <row r="4" spans="2:4" x14ac:dyDescent="0.25">
      <c r="B4" s="8">
        <v>1</v>
      </c>
      <c r="C4" s="2" t="s">
        <v>594</v>
      </c>
      <c r="D4" s="8" t="s">
        <v>798</v>
      </c>
    </row>
    <row r="5" spans="2:4" x14ac:dyDescent="0.25">
      <c r="B5" s="8">
        <v>2</v>
      </c>
      <c r="C5" s="2" t="s">
        <v>595</v>
      </c>
      <c r="D5" s="8">
        <v>0</v>
      </c>
    </row>
    <row r="6" spans="2:4" x14ac:dyDescent="0.25">
      <c r="B6" s="8">
        <v>3</v>
      </c>
      <c r="C6" s="2" t="s">
        <v>596</v>
      </c>
      <c r="D6" s="8">
        <v>2</v>
      </c>
    </row>
    <row r="7" spans="2:4" x14ac:dyDescent="0.25">
      <c r="B7" s="8">
        <v>4</v>
      </c>
      <c r="C7" s="2" t="s">
        <v>597</v>
      </c>
      <c r="D7" s="8">
        <v>2</v>
      </c>
    </row>
    <row r="8" spans="2:4" x14ac:dyDescent="0.25">
      <c r="B8" s="8">
        <v>5</v>
      </c>
      <c r="C8" s="2" t="s">
        <v>598</v>
      </c>
      <c r="D8" s="8">
        <v>1</v>
      </c>
    </row>
    <row r="9" spans="2:4" x14ac:dyDescent="0.25">
      <c r="B9" s="8">
        <v>6</v>
      </c>
      <c r="C9" s="2" t="s">
        <v>599</v>
      </c>
      <c r="D9" s="8">
        <v>2</v>
      </c>
    </row>
    <row r="10" spans="2:4" x14ac:dyDescent="0.25">
      <c r="B10" s="8">
        <v>7</v>
      </c>
      <c r="C10" s="2" t="s">
        <v>600</v>
      </c>
      <c r="D10" s="8">
        <v>1</v>
      </c>
    </row>
    <row r="11" spans="2:4" x14ac:dyDescent="0.25">
      <c r="B11" s="8">
        <v>8</v>
      </c>
      <c r="C11" s="2" t="s">
        <v>601</v>
      </c>
      <c r="D11" s="8">
        <v>2</v>
      </c>
    </row>
    <row r="12" spans="2:4" x14ac:dyDescent="0.25">
      <c r="B12" s="8">
        <v>9</v>
      </c>
      <c r="C12" s="2" t="s">
        <v>602</v>
      </c>
      <c r="D12" s="8">
        <v>3</v>
      </c>
    </row>
    <row r="13" spans="2:4" x14ac:dyDescent="0.25">
      <c r="B13" s="8">
        <v>10</v>
      </c>
      <c r="C13" s="2" t="s">
        <v>603</v>
      </c>
      <c r="D13" s="8">
        <v>3</v>
      </c>
    </row>
    <row r="14" spans="2:4" x14ac:dyDescent="0.25">
      <c r="B14" s="8">
        <v>11</v>
      </c>
      <c r="C14" s="2" t="s">
        <v>604</v>
      </c>
      <c r="D14" s="8">
        <v>3</v>
      </c>
    </row>
    <row r="15" spans="2:4" x14ac:dyDescent="0.25">
      <c r="B15" s="8">
        <v>12</v>
      </c>
      <c r="C15" s="2" t="s">
        <v>605</v>
      </c>
      <c r="D15" s="8">
        <v>1</v>
      </c>
    </row>
    <row r="16" spans="2:4" x14ac:dyDescent="0.25">
      <c r="D16" s="28"/>
    </row>
  </sheetData>
  <mergeCells count="1">
    <mergeCell ref="B2:D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B2:D52"/>
  <sheetViews>
    <sheetView workbookViewId="0">
      <selection activeCell="E29" sqref="E29:E31"/>
    </sheetView>
  </sheetViews>
  <sheetFormatPr baseColWidth="10" defaultRowHeight="15" x14ac:dyDescent="0.25"/>
  <cols>
    <col min="1" max="1" width="3.28515625" customWidth="1"/>
    <col min="2" max="2" width="6.7109375" customWidth="1"/>
    <col min="3" max="3" width="32.85546875" customWidth="1"/>
    <col min="4" max="4" width="10.7109375" customWidth="1"/>
    <col min="5" max="5" width="13.140625" customWidth="1"/>
    <col min="6" max="6" width="10.140625" customWidth="1"/>
    <col min="7" max="7" width="12.5703125" customWidth="1"/>
  </cols>
  <sheetData>
    <row r="2" spans="2:4" x14ac:dyDescent="0.25">
      <c r="B2" s="97" t="s">
        <v>607</v>
      </c>
      <c r="C2" s="98"/>
      <c r="D2" s="99"/>
    </row>
    <row r="3" spans="2:4" ht="16.5" customHeight="1" x14ac:dyDescent="0.25">
      <c r="B3" s="70" t="s">
        <v>1</v>
      </c>
      <c r="C3" s="70" t="s">
        <v>593</v>
      </c>
      <c r="D3" s="70" t="s">
        <v>471</v>
      </c>
    </row>
    <row r="4" spans="2:4" ht="15.6" customHeight="1" x14ac:dyDescent="0.25">
      <c r="B4" s="8">
        <v>1</v>
      </c>
      <c r="C4" s="2" t="s">
        <v>608</v>
      </c>
      <c r="D4" s="8">
        <v>0</v>
      </c>
    </row>
    <row r="5" spans="2:4" x14ac:dyDescent="0.25">
      <c r="B5" s="8">
        <v>2</v>
      </c>
      <c r="C5" s="2" t="s">
        <v>609</v>
      </c>
      <c r="D5" s="8">
        <v>4</v>
      </c>
    </row>
    <row r="6" spans="2:4" x14ac:dyDescent="0.25">
      <c r="B6" s="8">
        <v>3</v>
      </c>
      <c r="C6" s="2" t="s">
        <v>610</v>
      </c>
      <c r="D6" s="8">
        <v>3</v>
      </c>
    </row>
    <row r="7" spans="2:4" x14ac:dyDescent="0.25">
      <c r="B7" s="8">
        <v>4</v>
      </c>
      <c r="C7" s="2" t="s">
        <v>611</v>
      </c>
      <c r="D7" s="8">
        <v>20</v>
      </c>
    </row>
    <row r="8" spans="2:4" x14ac:dyDescent="0.25">
      <c r="B8" s="8">
        <v>5</v>
      </c>
      <c r="C8" s="2" t="s">
        <v>612</v>
      </c>
      <c r="D8" s="8">
        <v>3</v>
      </c>
    </row>
    <row r="9" spans="2:4" x14ac:dyDescent="0.25">
      <c r="B9" s="8">
        <v>6</v>
      </c>
      <c r="C9" s="2" t="s">
        <v>613</v>
      </c>
      <c r="D9" s="8">
        <v>2</v>
      </c>
    </row>
    <row r="10" spans="2:4" x14ac:dyDescent="0.25">
      <c r="B10" s="8">
        <v>7</v>
      </c>
      <c r="C10" s="2" t="s">
        <v>614</v>
      </c>
      <c r="D10" s="8">
        <v>2</v>
      </c>
    </row>
    <row r="11" spans="2:4" x14ac:dyDescent="0.25">
      <c r="B11" s="8">
        <v>8</v>
      </c>
      <c r="C11" s="2" t="s">
        <v>615</v>
      </c>
      <c r="D11" s="8">
        <v>4</v>
      </c>
    </row>
    <row r="12" spans="2:4" x14ac:dyDescent="0.25">
      <c r="B12" s="8">
        <v>9</v>
      </c>
      <c r="C12" s="2" t="s">
        <v>616</v>
      </c>
      <c r="D12" s="8">
        <v>1</v>
      </c>
    </row>
    <row r="13" spans="2:4" x14ac:dyDescent="0.25">
      <c r="B13" s="8">
        <v>10</v>
      </c>
      <c r="C13" s="2" t="s">
        <v>617</v>
      </c>
      <c r="D13" s="8">
        <v>1</v>
      </c>
    </row>
    <row r="14" spans="2:4" x14ac:dyDescent="0.25">
      <c r="B14" s="8">
        <v>11</v>
      </c>
      <c r="C14" s="2" t="s">
        <v>618</v>
      </c>
      <c r="D14" s="8">
        <v>20</v>
      </c>
    </row>
    <row r="15" spans="2:4" x14ac:dyDescent="0.25">
      <c r="B15" s="8">
        <v>12</v>
      </c>
      <c r="C15" s="2" t="s">
        <v>619</v>
      </c>
      <c r="D15" s="8">
        <v>25</v>
      </c>
    </row>
    <row r="16" spans="2:4" x14ac:dyDescent="0.25">
      <c r="B16" s="8">
        <v>13</v>
      </c>
      <c r="C16" s="2" t="s">
        <v>620</v>
      </c>
      <c r="D16" s="8">
        <v>1</v>
      </c>
    </row>
    <row r="17" spans="2:4" x14ac:dyDescent="0.25">
      <c r="B17" s="8">
        <v>14</v>
      </c>
      <c r="C17" s="2" t="s">
        <v>621</v>
      </c>
      <c r="D17" s="8">
        <v>4</v>
      </c>
    </row>
    <row r="18" spans="2:4" x14ac:dyDescent="0.25">
      <c r="B18" s="8">
        <v>15</v>
      </c>
      <c r="C18" s="2" t="s">
        <v>622</v>
      </c>
      <c r="D18" s="8">
        <v>5</v>
      </c>
    </row>
    <row r="19" spans="2:4" x14ac:dyDescent="0.25">
      <c r="B19" s="8">
        <v>16</v>
      </c>
      <c r="C19" s="2" t="s">
        <v>623</v>
      </c>
      <c r="D19" s="8">
        <v>2</v>
      </c>
    </row>
    <row r="20" spans="2:4" x14ac:dyDescent="0.25">
      <c r="B20" s="8">
        <v>17</v>
      </c>
      <c r="C20" s="2" t="s">
        <v>624</v>
      </c>
      <c r="D20" s="8">
        <v>2</v>
      </c>
    </row>
    <row r="21" spans="2:4" x14ac:dyDescent="0.25">
      <c r="B21" s="8">
        <v>18</v>
      </c>
      <c r="C21" s="2" t="s">
        <v>625</v>
      </c>
      <c r="D21" s="8">
        <v>1</v>
      </c>
    </row>
    <row r="22" spans="2:4" x14ac:dyDescent="0.25">
      <c r="B22" s="8">
        <v>19</v>
      </c>
      <c r="C22" s="2" t="s">
        <v>626</v>
      </c>
      <c r="D22" s="8">
        <v>1</v>
      </c>
    </row>
    <row r="23" spans="2:4" x14ac:dyDescent="0.25">
      <c r="B23" s="8">
        <v>20</v>
      </c>
      <c r="C23" s="2" t="s">
        <v>627</v>
      </c>
      <c r="D23" s="8">
        <v>1</v>
      </c>
    </row>
    <row r="24" spans="2:4" x14ac:dyDescent="0.25">
      <c r="B24" s="8">
        <v>21</v>
      </c>
      <c r="C24" s="2" t="s">
        <v>628</v>
      </c>
      <c r="D24" s="8">
        <v>2</v>
      </c>
    </row>
    <row r="25" spans="2:4" x14ac:dyDescent="0.25">
      <c r="B25" s="8">
        <v>22</v>
      </c>
      <c r="C25" s="2" t="s">
        <v>629</v>
      </c>
      <c r="D25" s="8">
        <v>2</v>
      </c>
    </row>
    <row r="26" spans="2:4" x14ac:dyDescent="0.25">
      <c r="B26" s="8">
        <v>23</v>
      </c>
      <c r="C26" s="2" t="s">
        <v>630</v>
      </c>
      <c r="D26" s="8">
        <v>1</v>
      </c>
    </row>
    <row r="27" spans="2:4" x14ac:dyDescent="0.25">
      <c r="B27" s="8">
        <v>24</v>
      </c>
      <c r="C27" s="2" t="s">
        <v>631</v>
      </c>
      <c r="D27" s="8">
        <v>5</v>
      </c>
    </row>
    <row r="28" spans="2:4" x14ac:dyDescent="0.25">
      <c r="B28" s="8">
        <v>25</v>
      </c>
      <c r="C28" s="2" t="s">
        <v>632</v>
      </c>
      <c r="D28" s="8">
        <v>1</v>
      </c>
    </row>
    <row r="29" spans="2:4" x14ac:dyDescent="0.25">
      <c r="B29" s="8">
        <v>26</v>
      </c>
      <c r="C29" s="2" t="s">
        <v>633</v>
      </c>
      <c r="D29" s="8">
        <v>1</v>
      </c>
    </row>
    <row r="30" spans="2:4" x14ac:dyDescent="0.25">
      <c r="B30" s="8">
        <v>27</v>
      </c>
      <c r="C30" s="2" t="s">
        <v>634</v>
      </c>
      <c r="D30" s="8">
        <v>1</v>
      </c>
    </row>
    <row r="31" spans="2:4" x14ac:dyDescent="0.25">
      <c r="B31" s="8">
        <v>28</v>
      </c>
      <c r="C31" s="2" t="s">
        <v>635</v>
      </c>
      <c r="D31" s="8">
        <v>2</v>
      </c>
    </row>
    <row r="32" spans="2:4" x14ac:dyDescent="0.25">
      <c r="B32" s="8">
        <v>29</v>
      </c>
      <c r="C32" s="2" t="s">
        <v>636</v>
      </c>
      <c r="D32" s="8">
        <v>1</v>
      </c>
    </row>
    <row r="33" spans="2:4" x14ac:dyDescent="0.25">
      <c r="B33" s="8">
        <v>30</v>
      </c>
      <c r="C33" s="2" t="s">
        <v>637</v>
      </c>
      <c r="D33" s="8">
        <v>1</v>
      </c>
    </row>
    <row r="34" spans="2:4" x14ac:dyDescent="0.25">
      <c r="B34" s="8">
        <v>31</v>
      </c>
      <c r="C34" s="2" t="s">
        <v>638</v>
      </c>
      <c r="D34" s="8">
        <v>2</v>
      </c>
    </row>
    <row r="35" spans="2:4" x14ac:dyDescent="0.25">
      <c r="B35" s="8">
        <v>32</v>
      </c>
      <c r="C35" s="2" t="s">
        <v>639</v>
      </c>
      <c r="D35" s="8">
        <v>2</v>
      </c>
    </row>
    <row r="36" spans="2:4" x14ac:dyDescent="0.25">
      <c r="B36" s="8">
        <v>33</v>
      </c>
      <c r="C36" s="2" t="s">
        <v>640</v>
      </c>
      <c r="D36" s="8">
        <v>3</v>
      </c>
    </row>
    <row r="37" spans="2:4" x14ac:dyDescent="0.25">
      <c r="B37" s="8">
        <v>34</v>
      </c>
      <c r="C37" s="2" t="s">
        <v>641</v>
      </c>
      <c r="D37" s="8">
        <v>10</v>
      </c>
    </row>
    <row r="38" spans="2:4" x14ac:dyDescent="0.25">
      <c r="B38" s="8">
        <v>35</v>
      </c>
      <c r="C38" s="2" t="s">
        <v>642</v>
      </c>
      <c r="D38" s="8">
        <v>2</v>
      </c>
    </row>
    <row r="39" spans="2:4" x14ac:dyDescent="0.25">
      <c r="B39" s="8">
        <v>36</v>
      </c>
      <c r="C39" s="2" t="s">
        <v>643</v>
      </c>
      <c r="D39" s="8">
        <v>2</v>
      </c>
    </row>
    <row r="40" spans="2:4" x14ac:dyDescent="0.25">
      <c r="B40" s="8">
        <v>37</v>
      </c>
      <c r="C40" s="2" t="s">
        <v>644</v>
      </c>
      <c r="D40" s="8">
        <v>10</v>
      </c>
    </row>
    <row r="41" spans="2:4" x14ac:dyDescent="0.25">
      <c r="B41" s="8">
        <v>38</v>
      </c>
      <c r="C41" s="2" t="s">
        <v>645</v>
      </c>
      <c r="D41" s="8">
        <v>2</v>
      </c>
    </row>
    <row r="42" spans="2:4" x14ac:dyDescent="0.25">
      <c r="B42" s="8">
        <v>39</v>
      </c>
      <c r="C42" s="2" t="s">
        <v>646</v>
      </c>
      <c r="D42" s="8">
        <v>2</v>
      </c>
    </row>
    <row r="43" spans="2:4" x14ac:dyDescent="0.25">
      <c r="B43" s="8">
        <v>40</v>
      </c>
      <c r="C43" s="2" t="s">
        <v>647</v>
      </c>
      <c r="D43" s="8">
        <v>3</v>
      </c>
    </row>
    <row r="44" spans="2:4" x14ac:dyDescent="0.25">
      <c r="B44" s="8">
        <v>41</v>
      </c>
      <c r="C44" s="2" t="s">
        <v>648</v>
      </c>
      <c r="D44" s="8">
        <v>1</v>
      </c>
    </row>
    <row r="45" spans="2:4" x14ac:dyDescent="0.25">
      <c r="B45" s="8">
        <v>42</v>
      </c>
      <c r="C45" s="2" t="s">
        <v>649</v>
      </c>
      <c r="D45" s="8">
        <v>1</v>
      </c>
    </row>
    <row r="46" spans="2:4" x14ac:dyDescent="0.25">
      <c r="B46" s="8">
        <v>43</v>
      </c>
      <c r="C46" s="2" t="s">
        <v>650</v>
      </c>
      <c r="D46" s="8">
        <v>3</v>
      </c>
    </row>
    <row r="47" spans="2:4" x14ac:dyDescent="0.25">
      <c r="B47" s="8">
        <v>44</v>
      </c>
      <c r="C47" s="2" t="s">
        <v>651</v>
      </c>
      <c r="D47" s="8">
        <v>1</v>
      </c>
    </row>
    <row r="48" spans="2:4" x14ac:dyDescent="0.25">
      <c r="B48" s="8">
        <v>45</v>
      </c>
      <c r="C48" s="2" t="s">
        <v>652</v>
      </c>
      <c r="D48" s="8">
        <v>21</v>
      </c>
    </row>
    <row r="49" spans="2:4" x14ac:dyDescent="0.25">
      <c r="B49" s="8">
        <v>46</v>
      </c>
      <c r="C49" s="2" t="s">
        <v>653</v>
      </c>
      <c r="D49" s="8">
        <v>9</v>
      </c>
    </row>
    <row r="50" spans="2:4" x14ac:dyDescent="0.25">
      <c r="B50" s="8">
        <v>47</v>
      </c>
      <c r="C50" s="2" t="s">
        <v>654</v>
      </c>
      <c r="D50" s="8">
        <v>6</v>
      </c>
    </row>
    <row r="51" spans="2:4" x14ac:dyDescent="0.25">
      <c r="B51" s="8">
        <v>48</v>
      </c>
      <c r="C51" s="2" t="s">
        <v>655</v>
      </c>
      <c r="D51" s="8">
        <v>2</v>
      </c>
    </row>
    <row r="52" spans="2:4" x14ac:dyDescent="0.25">
      <c r="B52" s="8">
        <v>49</v>
      </c>
      <c r="C52" s="2" t="s">
        <v>656</v>
      </c>
      <c r="D52" s="8">
        <v>2</v>
      </c>
    </row>
  </sheetData>
  <mergeCells count="1">
    <mergeCell ref="B2:D2"/>
  </mergeCells>
  <pageMargins left="0.7" right="0.7" top="0.75" bottom="0.75" header="0.3" footer="0.3"/>
  <pageSetup orientation="portrait" horizontalDpi="0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2:H34"/>
  <sheetViews>
    <sheetView workbookViewId="0">
      <selection activeCell="A35" sqref="A35"/>
    </sheetView>
  </sheetViews>
  <sheetFormatPr baseColWidth="10" defaultRowHeight="15" x14ac:dyDescent="0.25"/>
  <cols>
    <col min="1" max="1" width="4.28515625" customWidth="1"/>
    <col min="2" max="2" width="18.28515625" customWidth="1"/>
    <col min="3" max="3" width="25.28515625" customWidth="1"/>
    <col min="4" max="4" width="9.7109375" customWidth="1"/>
    <col min="5" max="5" width="5.28515625" customWidth="1"/>
    <col min="7" max="7" width="18.7109375" customWidth="1"/>
    <col min="8" max="8" width="10.7109375" customWidth="1"/>
  </cols>
  <sheetData>
    <row r="2" spans="1:8" x14ac:dyDescent="0.25">
      <c r="A2" s="101" t="s">
        <v>1</v>
      </c>
      <c r="B2" s="100" t="s">
        <v>689</v>
      </c>
      <c r="C2" s="100"/>
      <c r="D2" s="100"/>
      <c r="F2" s="100" t="s">
        <v>690</v>
      </c>
      <c r="G2" s="100"/>
      <c r="H2" s="100"/>
    </row>
    <row r="3" spans="1:8" x14ac:dyDescent="0.25">
      <c r="A3" s="101"/>
      <c r="B3" s="72" t="s">
        <v>547</v>
      </c>
      <c r="C3" s="73" t="s">
        <v>593</v>
      </c>
      <c r="D3" s="73" t="s">
        <v>471</v>
      </c>
      <c r="F3" s="70" t="s">
        <v>1</v>
      </c>
      <c r="G3" s="70" t="s">
        <v>470</v>
      </c>
      <c r="H3" s="70" t="s">
        <v>471</v>
      </c>
    </row>
    <row r="4" spans="1:8" x14ac:dyDescent="0.25">
      <c r="A4">
        <v>1</v>
      </c>
      <c r="B4" s="8">
        <v>74644186</v>
      </c>
      <c r="C4" s="2" t="s">
        <v>658</v>
      </c>
      <c r="D4" s="8">
        <v>1</v>
      </c>
      <c r="F4" s="8">
        <v>1</v>
      </c>
      <c r="G4" s="2" t="s">
        <v>691</v>
      </c>
      <c r="H4" s="8">
        <v>6</v>
      </c>
    </row>
    <row r="5" spans="1:8" x14ac:dyDescent="0.25">
      <c r="A5">
        <v>2</v>
      </c>
      <c r="B5" s="8">
        <v>74644118</v>
      </c>
      <c r="C5" s="2" t="s">
        <v>659</v>
      </c>
      <c r="D5" s="8">
        <v>1</v>
      </c>
      <c r="F5" s="8">
        <v>2</v>
      </c>
      <c r="G5" s="2" t="s">
        <v>692</v>
      </c>
      <c r="H5" s="8">
        <v>2</v>
      </c>
    </row>
    <row r="6" spans="1:8" x14ac:dyDescent="0.25">
      <c r="A6">
        <v>3</v>
      </c>
      <c r="B6" s="8">
        <v>74643712</v>
      </c>
      <c r="C6" s="2" t="s">
        <v>660</v>
      </c>
      <c r="D6" s="8">
        <v>1</v>
      </c>
      <c r="F6" s="8">
        <v>3</v>
      </c>
      <c r="G6" s="2" t="s">
        <v>693</v>
      </c>
      <c r="H6" s="8">
        <v>6</v>
      </c>
    </row>
    <row r="7" spans="1:8" x14ac:dyDescent="0.25">
      <c r="A7">
        <v>4</v>
      </c>
      <c r="B7" s="8" t="s">
        <v>661</v>
      </c>
      <c r="C7" s="2" t="s">
        <v>660</v>
      </c>
      <c r="D7" s="8">
        <v>1</v>
      </c>
    </row>
    <row r="8" spans="1:8" x14ac:dyDescent="0.25">
      <c r="A8">
        <v>5</v>
      </c>
      <c r="B8" s="8" t="s">
        <v>662</v>
      </c>
      <c r="C8" s="2" t="s">
        <v>663</v>
      </c>
      <c r="D8" s="8">
        <v>1</v>
      </c>
    </row>
    <row r="9" spans="1:8" x14ac:dyDescent="0.25">
      <c r="A9">
        <v>6</v>
      </c>
      <c r="B9" s="8" t="s">
        <v>664</v>
      </c>
      <c r="C9" s="2" t="s">
        <v>663</v>
      </c>
      <c r="D9" s="8">
        <v>1</v>
      </c>
    </row>
    <row r="10" spans="1:8" x14ac:dyDescent="0.25">
      <c r="A10">
        <v>7</v>
      </c>
      <c r="B10" s="8" t="s">
        <v>665</v>
      </c>
      <c r="C10" s="2" t="s">
        <v>663</v>
      </c>
      <c r="D10" s="8">
        <v>1</v>
      </c>
    </row>
    <row r="11" spans="1:8" x14ac:dyDescent="0.25">
      <c r="A11">
        <v>8</v>
      </c>
      <c r="B11" s="8" t="s">
        <v>666</v>
      </c>
      <c r="C11" s="2" t="s">
        <v>663</v>
      </c>
      <c r="D11" s="8">
        <v>1</v>
      </c>
    </row>
    <row r="12" spans="1:8" x14ac:dyDescent="0.25">
      <c r="A12">
        <v>9</v>
      </c>
      <c r="B12" s="8" t="s">
        <v>667</v>
      </c>
      <c r="C12" s="2" t="s">
        <v>668</v>
      </c>
      <c r="D12" s="8">
        <v>1</v>
      </c>
    </row>
    <row r="13" spans="1:8" x14ac:dyDescent="0.25">
      <c r="A13">
        <v>10</v>
      </c>
      <c r="B13" s="8" t="s">
        <v>669</v>
      </c>
      <c r="C13" s="2" t="s">
        <v>668</v>
      </c>
      <c r="D13" s="8">
        <v>1</v>
      </c>
    </row>
    <row r="14" spans="1:8" x14ac:dyDescent="0.25">
      <c r="A14">
        <v>11</v>
      </c>
      <c r="B14" s="8">
        <v>74648119</v>
      </c>
      <c r="C14" s="2" t="s">
        <v>668</v>
      </c>
      <c r="D14" s="8">
        <v>1</v>
      </c>
    </row>
    <row r="15" spans="1:8" x14ac:dyDescent="0.25">
      <c r="A15">
        <v>12</v>
      </c>
      <c r="B15" s="8" t="s">
        <v>670</v>
      </c>
      <c r="C15" s="2" t="s">
        <v>671</v>
      </c>
      <c r="D15" s="8">
        <v>1</v>
      </c>
    </row>
    <row r="16" spans="1:8" x14ac:dyDescent="0.25">
      <c r="A16">
        <v>13</v>
      </c>
      <c r="B16" s="8" t="s">
        <v>672</v>
      </c>
      <c r="C16" s="2" t="s">
        <v>671</v>
      </c>
      <c r="D16" s="8">
        <v>1</v>
      </c>
    </row>
    <row r="17" spans="1:4" x14ac:dyDescent="0.25">
      <c r="A17">
        <v>14</v>
      </c>
      <c r="B17" s="8" t="s">
        <v>673</v>
      </c>
      <c r="C17" s="2" t="s">
        <v>663</v>
      </c>
      <c r="D17" s="8">
        <v>1</v>
      </c>
    </row>
    <row r="18" spans="1:4" x14ac:dyDescent="0.25">
      <c r="A18">
        <v>15</v>
      </c>
      <c r="B18" s="8" t="s">
        <v>674</v>
      </c>
      <c r="C18" s="2" t="s">
        <v>675</v>
      </c>
      <c r="D18" s="8">
        <v>1</v>
      </c>
    </row>
    <row r="19" spans="1:4" x14ac:dyDescent="0.25">
      <c r="A19">
        <v>16</v>
      </c>
      <c r="B19" s="8" t="s">
        <v>676</v>
      </c>
      <c r="C19" s="2" t="s">
        <v>675</v>
      </c>
      <c r="D19" s="8">
        <v>1</v>
      </c>
    </row>
    <row r="20" spans="1:4" x14ac:dyDescent="0.25">
      <c r="A20">
        <v>17</v>
      </c>
      <c r="B20" s="8" t="s">
        <v>677</v>
      </c>
      <c r="C20" s="2" t="s">
        <v>663</v>
      </c>
      <c r="D20" s="8">
        <v>1</v>
      </c>
    </row>
    <row r="21" spans="1:4" x14ac:dyDescent="0.25">
      <c r="A21">
        <v>18</v>
      </c>
      <c r="B21" s="8" t="s">
        <v>678</v>
      </c>
      <c r="C21" s="2" t="s">
        <v>663</v>
      </c>
      <c r="D21" s="8">
        <v>1</v>
      </c>
    </row>
    <row r="22" spans="1:4" x14ac:dyDescent="0.25">
      <c r="A22">
        <v>19</v>
      </c>
      <c r="B22" s="8" t="s">
        <v>679</v>
      </c>
      <c r="C22" s="2" t="s">
        <v>663</v>
      </c>
      <c r="D22" s="8">
        <v>1</v>
      </c>
    </row>
    <row r="23" spans="1:4" x14ac:dyDescent="0.25">
      <c r="A23">
        <v>20</v>
      </c>
      <c r="B23" s="8" t="s">
        <v>680</v>
      </c>
      <c r="C23" s="2" t="s">
        <v>663</v>
      </c>
      <c r="D23" s="8">
        <v>1</v>
      </c>
    </row>
    <row r="24" spans="1:4" x14ac:dyDescent="0.25">
      <c r="A24">
        <v>21</v>
      </c>
      <c r="B24" s="8" t="s">
        <v>681</v>
      </c>
      <c r="C24" s="2" t="s">
        <v>663</v>
      </c>
      <c r="D24" s="8">
        <v>1</v>
      </c>
    </row>
    <row r="25" spans="1:4" x14ac:dyDescent="0.25">
      <c r="A25">
        <v>22</v>
      </c>
      <c r="B25" s="8" t="s">
        <v>682</v>
      </c>
      <c r="C25" s="2" t="s">
        <v>663</v>
      </c>
      <c r="D25" s="8">
        <v>1</v>
      </c>
    </row>
    <row r="26" spans="1:4" x14ac:dyDescent="0.25">
      <c r="A26">
        <v>23</v>
      </c>
      <c r="B26" s="8">
        <v>74642423</v>
      </c>
      <c r="C26" s="2" t="s">
        <v>683</v>
      </c>
      <c r="D26" s="8">
        <v>1</v>
      </c>
    </row>
    <row r="27" spans="1:4" x14ac:dyDescent="0.25">
      <c r="A27">
        <v>24</v>
      </c>
      <c r="B27" s="8" t="s">
        <v>684</v>
      </c>
      <c r="C27" s="2" t="s">
        <v>683</v>
      </c>
      <c r="D27" s="8">
        <v>1</v>
      </c>
    </row>
    <row r="28" spans="1:4" x14ac:dyDescent="0.25">
      <c r="A28">
        <v>25</v>
      </c>
      <c r="B28" s="8"/>
      <c r="C28" s="2" t="s">
        <v>683</v>
      </c>
      <c r="D28" s="8">
        <v>1</v>
      </c>
    </row>
    <row r="29" spans="1:4" x14ac:dyDescent="0.25">
      <c r="A29">
        <v>26</v>
      </c>
      <c r="B29" s="8"/>
      <c r="C29" s="2" t="s">
        <v>683</v>
      </c>
      <c r="D29" s="8">
        <v>1</v>
      </c>
    </row>
    <row r="30" spans="1:4" x14ac:dyDescent="0.25">
      <c r="A30">
        <v>27</v>
      </c>
      <c r="B30" s="8"/>
      <c r="C30" s="2" t="s">
        <v>683</v>
      </c>
      <c r="D30" s="8">
        <v>1</v>
      </c>
    </row>
    <row r="31" spans="1:4" x14ac:dyDescent="0.25">
      <c r="A31">
        <v>28</v>
      </c>
      <c r="B31" s="8" t="s">
        <v>685</v>
      </c>
      <c r="C31" s="2" t="s">
        <v>675</v>
      </c>
      <c r="D31" s="8">
        <v>1</v>
      </c>
    </row>
    <row r="32" spans="1:4" x14ac:dyDescent="0.25">
      <c r="A32">
        <v>29</v>
      </c>
      <c r="B32" s="8"/>
      <c r="C32" s="2" t="s">
        <v>686</v>
      </c>
      <c r="D32" s="8">
        <v>5</v>
      </c>
    </row>
    <row r="33" spans="1:4" x14ac:dyDescent="0.25">
      <c r="A33">
        <v>30</v>
      </c>
      <c r="B33" s="8"/>
      <c r="C33" s="2" t="s">
        <v>687</v>
      </c>
      <c r="D33" s="8">
        <v>4</v>
      </c>
    </row>
    <row r="34" spans="1:4" x14ac:dyDescent="0.25">
      <c r="A34">
        <v>31</v>
      </c>
      <c r="B34" s="8"/>
      <c r="C34" s="2" t="s">
        <v>688</v>
      </c>
      <c r="D34" s="8">
        <v>2</v>
      </c>
    </row>
  </sheetData>
  <mergeCells count="3">
    <mergeCell ref="B2:D2"/>
    <mergeCell ref="F2:H2"/>
    <mergeCell ref="A2:A3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3343DF-2BE7-4DF6-8CAB-E1ADB3A9E753}">
  <dimension ref="A2:K28"/>
  <sheetViews>
    <sheetView tabSelected="1" topLeftCell="G1" workbookViewId="0">
      <selection activeCell="G28" sqref="G28"/>
    </sheetView>
  </sheetViews>
  <sheetFormatPr baseColWidth="10" defaultRowHeight="15" x14ac:dyDescent="0.25"/>
  <cols>
    <col min="1" max="1" width="5.42578125" customWidth="1"/>
    <col min="2" max="2" width="29.7109375" customWidth="1"/>
    <col min="3" max="3" width="36.42578125" customWidth="1"/>
    <col min="4" max="4" width="16.5703125" customWidth="1"/>
    <col min="9" max="9" width="18" customWidth="1"/>
    <col min="10" max="10" width="21.28515625" customWidth="1"/>
    <col min="11" max="11" width="14.42578125" customWidth="1"/>
  </cols>
  <sheetData>
    <row r="2" spans="1:11" x14ac:dyDescent="0.25">
      <c r="A2" s="75" t="s">
        <v>1</v>
      </c>
      <c r="B2" s="75" t="s">
        <v>68</v>
      </c>
      <c r="C2" s="75" t="s">
        <v>69</v>
      </c>
      <c r="D2" s="75" t="s">
        <v>0</v>
      </c>
      <c r="E2" s="75" t="s">
        <v>91</v>
      </c>
      <c r="F2" s="75" t="s">
        <v>67</v>
      </c>
      <c r="G2" s="75" t="s">
        <v>5</v>
      </c>
      <c r="H2" s="75" t="s">
        <v>31</v>
      </c>
      <c r="I2" s="75" t="s">
        <v>471</v>
      </c>
      <c r="J2" s="75" t="s">
        <v>279</v>
      </c>
      <c r="K2" s="74" t="s">
        <v>332</v>
      </c>
    </row>
    <row r="3" spans="1:11" x14ac:dyDescent="0.25">
      <c r="A3" s="8">
        <v>1</v>
      </c>
      <c r="B3" s="76" t="s">
        <v>804</v>
      </c>
      <c r="C3" s="76" t="s">
        <v>805</v>
      </c>
      <c r="D3" s="76" t="s">
        <v>806</v>
      </c>
      <c r="E3" s="76" t="s">
        <v>807</v>
      </c>
      <c r="F3" s="76" t="s">
        <v>70</v>
      </c>
      <c r="G3" s="76" t="s">
        <v>70</v>
      </c>
      <c r="H3" s="76">
        <v>1</v>
      </c>
      <c r="I3" s="76" t="s">
        <v>282</v>
      </c>
      <c r="J3" s="76" t="s">
        <v>808</v>
      </c>
      <c r="K3" s="77">
        <v>1</v>
      </c>
    </row>
    <row r="4" spans="1:11" x14ac:dyDescent="0.25">
      <c r="A4" s="8">
        <v>2</v>
      </c>
      <c r="B4" s="78" t="s">
        <v>706</v>
      </c>
      <c r="C4" s="78" t="s">
        <v>809</v>
      </c>
      <c r="D4" s="78" t="s">
        <v>806</v>
      </c>
      <c r="E4" s="78" t="s">
        <v>810</v>
      </c>
      <c r="F4" s="76" t="s">
        <v>70</v>
      </c>
      <c r="G4" s="76" t="s">
        <v>70</v>
      </c>
      <c r="H4" s="78">
        <v>1</v>
      </c>
      <c r="I4" s="78" t="s">
        <v>282</v>
      </c>
      <c r="J4" s="76" t="s">
        <v>808</v>
      </c>
      <c r="K4" s="77">
        <v>1</v>
      </c>
    </row>
    <row r="5" spans="1:11" x14ac:dyDescent="0.25">
      <c r="A5" s="8">
        <v>3</v>
      </c>
      <c r="B5" s="76" t="s">
        <v>229</v>
      </c>
      <c r="C5" s="76" t="s">
        <v>811</v>
      </c>
      <c r="D5" s="76" t="s">
        <v>806</v>
      </c>
      <c r="E5" s="76" t="s">
        <v>812</v>
      </c>
      <c r="F5" s="76" t="s">
        <v>70</v>
      </c>
      <c r="G5" s="76" t="s">
        <v>70</v>
      </c>
      <c r="H5" s="76">
        <v>1</v>
      </c>
      <c r="I5" s="76" t="s">
        <v>813</v>
      </c>
      <c r="J5" s="76" t="s">
        <v>808</v>
      </c>
      <c r="K5" s="77">
        <v>1</v>
      </c>
    </row>
    <row r="6" spans="1:11" x14ac:dyDescent="0.25">
      <c r="A6" s="8">
        <v>4</v>
      </c>
      <c r="B6" s="77" t="s">
        <v>238</v>
      </c>
      <c r="C6" s="77" t="s">
        <v>814</v>
      </c>
      <c r="D6" s="77" t="s">
        <v>806</v>
      </c>
      <c r="E6" s="77" t="s">
        <v>815</v>
      </c>
      <c r="F6" s="76" t="s">
        <v>70</v>
      </c>
      <c r="G6" s="76" t="s">
        <v>70</v>
      </c>
      <c r="H6" s="77">
        <v>1</v>
      </c>
      <c r="I6" s="77" t="s">
        <v>117</v>
      </c>
      <c r="J6" s="77"/>
      <c r="K6" s="77">
        <v>1</v>
      </c>
    </row>
    <row r="7" spans="1:11" x14ac:dyDescent="0.25">
      <c r="A7" s="8">
        <v>6</v>
      </c>
      <c r="B7" s="77" t="s">
        <v>173</v>
      </c>
      <c r="C7" s="77" t="s">
        <v>816</v>
      </c>
      <c r="D7" s="77" t="s">
        <v>730</v>
      </c>
      <c r="E7" s="77" t="s">
        <v>817</v>
      </c>
      <c r="F7" s="76" t="s">
        <v>70</v>
      </c>
      <c r="G7" s="76" t="s">
        <v>70</v>
      </c>
      <c r="H7" s="77">
        <v>1</v>
      </c>
      <c r="I7" s="77" t="s">
        <v>117</v>
      </c>
      <c r="J7" s="77"/>
      <c r="K7" s="77">
        <v>1</v>
      </c>
    </row>
    <row r="8" spans="1:11" x14ac:dyDescent="0.25">
      <c r="A8" s="76">
        <v>7</v>
      </c>
      <c r="B8" s="76" t="s">
        <v>229</v>
      </c>
      <c r="C8" s="76" t="s">
        <v>811</v>
      </c>
      <c r="D8" s="76" t="s">
        <v>806</v>
      </c>
      <c r="E8" s="76" t="s">
        <v>812</v>
      </c>
      <c r="F8" s="76" t="s">
        <v>70</v>
      </c>
      <c r="G8" s="76" t="s">
        <v>70</v>
      </c>
      <c r="H8" s="76">
        <v>1</v>
      </c>
      <c r="I8" s="76" t="s">
        <v>813</v>
      </c>
      <c r="J8" s="76" t="s">
        <v>808</v>
      </c>
      <c r="K8" s="77">
        <v>1</v>
      </c>
    </row>
    <row r="9" spans="1:11" x14ac:dyDescent="0.25">
      <c r="A9" s="8">
        <v>8</v>
      </c>
      <c r="B9" s="79" t="s">
        <v>818</v>
      </c>
      <c r="C9" s="79" t="s">
        <v>819</v>
      </c>
      <c r="D9" s="79" t="s">
        <v>820</v>
      </c>
      <c r="E9" s="79" t="s">
        <v>404</v>
      </c>
      <c r="F9" s="76" t="s">
        <v>70</v>
      </c>
      <c r="G9" s="76" t="s">
        <v>70</v>
      </c>
      <c r="H9" s="79" t="s">
        <v>330</v>
      </c>
      <c r="I9" s="79"/>
      <c r="J9" s="8"/>
      <c r="K9" s="79">
        <v>2</v>
      </c>
    </row>
    <row r="10" spans="1:11" x14ac:dyDescent="0.25">
      <c r="A10" s="8">
        <v>9</v>
      </c>
      <c r="B10" s="79" t="s">
        <v>472</v>
      </c>
      <c r="C10" s="79" t="s">
        <v>821</v>
      </c>
      <c r="D10" s="79" t="s">
        <v>822</v>
      </c>
      <c r="E10" s="79" t="s">
        <v>404</v>
      </c>
      <c r="F10" s="76" t="s">
        <v>70</v>
      </c>
      <c r="G10" s="76" t="s">
        <v>70</v>
      </c>
      <c r="H10" s="79" t="s">
        <v>330</v>
      </c>
      <c r="I10" s="79"/>
      <c r="J10" s="8"/>
      <c r="K10" s="79">
        <v>1</v>
      </c>
    </row>
    <row r="11" spans="1:11" x14ac:dyDescent="0.25">
      <c r="A11" s="8">
        <v>11</v>
      </c>
      <c r="B11" s="79" t="s">
        <v>472</v>
      </c>
      <c r="C11" s="79" t="s">
        <v>821</v>
      </c>
      <c r="D11" s="79" t="s">
        <v>822</v>
      </c>
      <c r="E11" s="79" t="s">
        <v>404</v>
      </c>
      <c r="F11" s="76" t="s">
        <v>70</v>
      </c>
      <c r="G11" s="76" t="s">
        <v>70</v>
      </c>
      <c r="H11" s="79" t="s">
        <v>823</v>
      </c>
      <c r="I11" s="79"/>
      <c r="J11" s="8"/>
      <c r="K11" s="79">
        <v>1</v>
      </c>
    </row>
    <row r="12" spans="1:11" x14ac:dyDescent="0.25">
      <c r="A12" s="8">
        <v>12</v>
      </c>
      <c r="B12" s="79" t="s">
        <v>472</v>
      </c>
      <c r="C12" s="79" t="s">
        <v>821</v>
      </c>
      <c r="D12" s="79" t="s">
        <v>822</v>
      </c>
      <c r="E12" s="79" t="s">
        <v>404</v>
      </c>
      <c r="F12" s="76" t="s">
        <v>70</v>
      </c>
      <c r="G12" s="76" t="s">
        <v>70</v>
      </c>
      <c r="H12" s="79" t="s">
        <v>523</v>
      </c>
      <c r="I12" s="79"/>
      <c r="J12" s="8"/>
      <c r="K12" s="79">
        <v>2</v>
      </c>
    </row>
    <row r="13" spans="1:11" x14ac:dyDescent="0.25">
      <c r="A13" s="8">
        <v>13</v>
      </c>
      <c r="B13" s="79" t="s">
        <v>472</v>
      </c>
      <c r="C13" s="79" t="s">
        <v>821</v>
      </c>
      <c r="D13" s="79" t="s">
        <v>822</v>
      </c>
      <c r="E13" s="79" t="s">
        <v>404</v>
      </c>
      <c r="F13" s="76" t="s">
        <v>70</v>
      </c>
      <c r="G13" s="76" t="s">
        <v>70</v>
      </c>
      <c r="H13" s="79" t="s">
        <v>824</v>
      </c>
      <c r="I13" s="79"/>
      <c r="J13" s="8"/>
      <c r="K13" s="79">
        <v>1</v>
      </c>
    </row>
    <row r="14" spans="1:11" x14ac:dyDescent="0.25">
      <c r="A14" s="8">
        <v>14</v>
      </c>
      <c r="B14" s="79" t="s">
        <v>825</v>
      </c>
      <c r="C14" s="79" t="s">
        <v>826</v>
      </c>
      <c r="D14" s="79" t="s">
        <v>404</v>
      </c>
      <c r="E14" s="79" t="s">
        <v>404</v>
      </c>
      <c r="F14" s="76" t="s">
        <v>70</v>
      </c>
      <c r="G14" s="76" t="s">
        <v>70</v>
      </c>
      <c r="H14" s="79" t="s">
        <v>824</v>
      </c>
      <c r="I14" s="79"/>
      <c r="J14" s="8"/>
      <c r="K14" s="79">
        <v>3</v>
      </c>
    </row>
    <row r="15" spans="1:11" x14ac:dyDescent="0.25">
      <c r="A15" s="8">
        <v>15</v>
      </c>
      <c r="B15" s="79" t="s">
        <v>827</v>
      </c>
      <c r="C15" s="79" t="s">
        <v>828</v>
      </c>
      <c r="D15" s="79" t="s">
        <v>404</v>
      </c>
      <c r="E15" s="79" t="s">
        <v>404</v>
      </c>
      <c r="F15" s="76" t="s">
        <v>70</v>
      </c>
      <c r="G15" s="76" t="s">
        <v>70</v>
      </c>
      <c r="H15" s="79" t="s">
        <v>829</v>
      </c>
      <c r="I15" s="79"/>
      <c r="J15" s="8"/>
      <c r="K15" s="79">
        <v>15</v>
      </c>
    </row>
    <row r="16" spans="1:11" x14ac:dyDescent="0.25">
      <c r="A16" s="8">
        <v>16</v>
      </c>
      <c r="B16" s="79" t="s">
        <v>830</v>
      </c>
      <c r="C16" s="79" t="s">
        <v>831</v>
      </c>
      <c r="D16" s="79" t="s">
        <v>404</v>
      </c>
      <c r="E16" s="79" t="s">
        <v>404</v>
      </c>
      <c r="F16" s="76" t="s">
        <v>70</v>
      </c>
      <c r="G16" s="76" t="s">
        <v>70</v>
      </c>
      <c r="H16" s="79" t="s">
        <v>404</v>
      </c>
      <c r="I16" s="79"/>
      <c r="J16" s="8"/>
      <c r="K16" s="79">
        <v>3</v>
      </c>
    </row>
    <row r="17" spans="1:11" x14ac:dyDescent="0.25">
      <c r="A17" s="8">
        <v>17</v>
      </c>
      <c r="B17" s="79" t="s">
        <v>832</v>
      </c>
      <c r="C17" s="79" t="s">
        <v>833</v>
      </c>
      <c r="D17" s="79" t="s">
        <v>404</v>
      </c>
      <c r="E17" s="79" t="s">
        <v>404</v>
      </c>
      <c r="F17" s="76" t="s">
        <v>70</v>
      </c>
      <c r="G17" s="76" t="s">
        <v>70</v>
      </c>
      <c r="H17" s="79" t="s">
        <v>327</v>
      </c>
      <c r="I17" s="79"/>
      <c r="J17" s="8"/>
      <c r="K17" s="79">
        <v>1</v>
      </c>
    </row>
    <row r="28" spans="1:11" x14ac:dyDescent="0.25">
      <c r="G28" t="s">
        <v>343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12</vt:i4>
      </vt:variant>
    </vt:vector>
  </HeadingPairs>
  <TitlesOfParts>
    <vt:vector size="12" baseType="lpstr">
      <vt:lpstr>SOLVENTES</vt:lpstr>
      <vt:lpstr>ÁCIDOS</vt:lpstr>
      <vt:lpstr>BASES Y SALES</vt:lpstr>
      <vt:lpstr>POLÍMEROS</vt:lpstr>
      <vt:lpstr>VENCIDOS</vt:lpstr>
      <vt:lpstr>CONGELADOS Y REFRIGERADOS</vt:lpstr>
      <vt:lpstr>EQUIPOS</vt:lpstr>
      <vt:lpstr>MATERIALES DE LAB</vt:lpstr>
      <vt:lpstr>MATERIALES DE LIMPIEZA</vt:lpstr>
      <vt:lpstr>ARTICULOS DE OFICINA</vt:lpstr>
      <vt:lpstr>OTROS</vt:lpstr>
      <vt:lpstr>PRO.FREJOL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ESTEFANY</dc:creator>
  <cp:lastModifiedBy>luis vasquez</cp:lastModifiedBy>
  <cp:lastPrinted>2025-02-05T16:47:32Z</cp:lastPrinted>
  <dcterms:created xsi:type="dcterms:W3CDTF">2014-04-25T23:05:55Z</dcterms:created>
  <dcterms:modified xsi:type="dcterms:W3CDTF">2026-09-23T16:43:54Z</dcterms:modified>
</cp:coreProperties>
</file>